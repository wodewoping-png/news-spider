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26d8cb2c4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b14bb4c440164193"/>
    <x:sheet xmlns:r="http://schemas.openxmlformats.org/officeDocument/2006/relationships" name="定义与优先级" sheetId="2" r:id="Rb90fe51ca2bb429e"/>
    <x:sheet xmlns:r="http://schemas.openxmlformats.org/officeDocument/2006/relationships" name="问题清单" sheetId="3" r:id="Ra313d2d4024c49d1"/>
    <x:sheet xmlns:r="http://schemas.openxmlformats.org/officeDocument/2006/relationships" name="周采集明细" sheetId="4" r:id="R09efb064357149b5"/>
    <x:sheet xmlns:r="http://schemas.openxmlformats.org/officeDocument/2006/relationships" name="渠道维护总表" sheetId="5" r:id="R138856ad0570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x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44546A"/>
      <x:name val="Carlito"/>
    </x:font>
    <x:font>
      <x:b/>
      <x:sz val="11"/>
      <x:color rgb="FF17324D"/>
      <x:name val="Carlito"/>
    </x:font>
    <x:font>
      <x:b/>
      <x:sz val="18"/>
      <x:color rgb="FF17324D"/>
      <x:name val="Carlito"/>
    </x:font>
    <x:font>
      <x:b/>
      <x:sz val="11"/>
      <x:color rgb="FF0F5132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  <x:fill>
      <x:patternFill patternType="solid">
        <x:fgColor rgb="FFDCEAF5"/>
      </x:patternFill>
    </x:fill>
    <x:fill>
      <x:patternFill patternType="solid">
        <x:fgColor rgb="FFD1E7DD"/>
      </x:patternFill>
    </x:fill>
    <x:fill>
      <x:patternFill patternType="solid">
        <x:fgColor rgb="FFFFF8E1"/>
      </x:patternFill>
    </x:fill>
  </x:fills>
  <x:borders count="9">
    <x:border/>
    <x:border>
      <x:left style="thin">
        <x:color rgb="FFB8C7D4"/>
      </x:left>
      <x:top style="thin">
        <x:color rgb="FFB8C7D4"/>
      </x:top>
    </x:border>
    <x:border>
      <x:top style="thin">
        <x:color rgb="FFB8C7D4"/>
      </x:top>
    </x:border>
    <x:border>
      <x:right style="thin">
        <x:color rgb="FFB8C7D4"/>
      </x:right>
      <x:top style="thin">
        <x:color rgb="FFB8C7D4"/>
      </x:top>
    </x:border>
    <x:border>
      <x:left style="thin">
        <x:color rgb="FFB8C7D4"/>
      </x:left>
      <x:bottom style="thin">
        <x:color rgb="FFB8C7D4"/>
      </x:bottom>
    </x:border>
    <x:border>
      <x:bottom style="thin">
        <x:color rgb="FFB8C7D4"/>
      </x:bottom>
    </x:border>
    <x:border>
      <x:right style="thin">
        <x:color rgb="FFB8C7D4"/>
      </x:right>
      <x:bottom style="thin">
        <x:color rgb="FFB8C7D4"/>
      </x:bottom>
    </x:border>
    <x:border>
      <x:left style="thin">
        <x:color rgb="FFB8C7D4"/>
      </x:left>
    </x:border>
    <x:border>
      <x:right style="thin">
        <x:color rgb="FFB8C7D4"/>
      </x:right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/>
    </x:xf>
    <x:xf numFmtId="0" fontId="6" fillId="2" borderId="2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20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3">
    <x:dxf>
      <x:font>
        <x:b/>
        <x:color rgb="FF842029"/>
      </x:font>
      <x:fill>
        <x:patternFill>
          <x:bgColor rgb="FFF8D7DA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ont>
        <x:color rgb="FF0F5132"/>
      </x:font>
      <x:fill>
        <x:patternFill>
          <x:bgColor rgb="FFD1E7DD"/>
        </x:patternFill>
      </x:fill>
    </x:dxf>
    <x:dxf>
      <x:font>
        <x:color rgb="FF664D03"/>
      </x:font>
      <x:fill>
        <x:patternFill>
          <x:bgColor rgb="FFFFF3C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color rgb="FF41464B"/>
      </x:font>
      <x:fill>
        <x:patternFill>
          <x:bgColor rgb="FFE2E3E5"/>
        </x:patternFill>
      </x:fill>
    </x:dxf>
    <x:dxf>
      <x:font>
        <x:color rgb="FF0F5132"/>
      </x:font>
      <x:fill>
        <x:patternFill>
          <x:bgColor rgb="FFD1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75302a15e4a65" /><Relationship Type="http://schemas.openxmlformats.org/officeDocument/2006/relationships/theme" Target="/xl/theme/theme1.xml" Id="Re945440d3d704193" /><Relationship Type="http://schemas.openxmlformats.org/officeDocument/2006/relationships/sharedStrings" Target="/xl/sharedStrings.xml" Id="R4397ffd2c9dc4a4c" /><Relationship Type="http://schemas.openxmlformats.org/officeDocument/2006/relationships/worksheet" Target="/xl/worksheets/sheet1.xml" Id="Rb14bb4c440164193" /><Relationship Type="http://schemas.openxmlformats.org/officeDocument/2006/relationships/worksheet" Target="/xl/worksheets/sheet2.xml" Id="Rb90fe51ca2bb429e" /><Relationship Type="http://schemas.openxmlformats.org/officeDocument/2006/relationships/worksheet" Target="/xl/worksheets/sheet3.xml" Id="Ra313d2d4024c49d1" /><Relationship Type="http://schemas.openxmlformats.org/officeDocument/2006/relationships/worksheet" Target="/xl/worksheets/sheet4.xml" Id="R09efb064357149b5" /><Relationship Type="http://schemas.openxmlformats.org/officeDocument/2006/relationships/worksheet" Target="/xl/worksheets/sheet5.xml" Id="R138856ad05704577" /></Relationships>
</file>

<file path=xl/tables/table1.xml><?xml version="1.0" encoding="utf-8"?>
<x:table xmlns:x="http://schemas.openxmlformats.org/spreadsheetml/2006/main" id="1" name="IssueTable" displayName="IssueTable" ref="A1:N18" headerRowCount="1" totalsRowCount="0" totalsRowShown="0">
  <x:tableColumns count="14">
    <x:tableColumn id="1" name="处理顺序"/>
    <x:tableColumn id="2" name="问题编号"/>
    <x:tableColumn id="3" name="优先级"/>
    <x:tableColumn id="4" name="优先级判定依据"/>
    <x:tableColumn id="5" name="建议分析时限"/>
    <x:tableColumn id="6" name="类别"/>
    <x:tableColumn id="7" name="范围/渠道"/>
    <x:tableColumn id="8" name="发生周期"/>
    <x:tableColumn id="9" name="GitHub 证据"/>
    <x:tableColumn id="10" name="影响"/>
    <x:tableColumn id="11" name="用户确认原因"/>
    <x:tableColumn id="12" name="用户修复方案"/>
    <x:tableColumn id="13" name="执行状态"/>
    <x:tableColumn id="14" name="问题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CollectionTable" displayName="DailyCollectionTable" ref="A1:R8" headerRowCount="1" totalsRowCount="0" totalsRowShown="0">
  <x:tableColumns count="18">
    <x:tableColumn id="1" name="日期"/>
    <x:tableColumn id="2" name="采集总量"/>
    <x:tableColumn id="3" name="唯一文章"/>
    <x:tableColumn id="4" name="系统可用量"/>
    <x:tableColumn id="5" name="系统可用率"/>
    <x:tableColumn id="6" name="配置渠道"/>
    <x:tableColumn id="7" name="活跃渠道"/>
    <x:tableColumn id="8" name="有产出渠道"/>
    <x:tableColumn id="9" name="健康渠道"/>
    <x:tableColumn id="10" name="零产出渠道"/>
    <x:tableColumn id="11" name="空闲渠道"/>
    <x:tableColumn id="12" name="失败渠道"/>
    <x:tableColumn id="13" name="7日中位数"/>
    <x:tableColumn id="14" name="相对中位数"/>
    <x:tableColumn id="15" name="告警级别"/>
    <x:tableColumn id="16" name="告警代码"/>
    <x:tableColumn id="17" name="告警说明"/>
    <x:tableColumn id="18" name="更新时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nelMaintenanceTable" displayName="ChannelMaintenanceTable" ref="A1:Z58" headerRowCount="1" totalsRowCount="0" totalsRowShown="0">
  <x:tableColumns count="26">
    <x:tableColumn id="1" name="序号"/>
    <x:tableColumn id="2" name="渠道"/>
    <x:tableColumn id="3" name="主干领域"/>
    <x:tableColumn id="4" name="更新频率"/>
    <x:tableColumn id="5" name="链接"/>
    <x:tableColumn id="6" name="最新状态"/>
    <x:tableColumn id="7" name="周采集量"/>
    <x:tableColumn id="8" name="周可用量"/>
    <x:tableColumn id="9" name="周零产出天数"/>
    <x:tableColumn id="10" name="周降级天数"/>
    <x:tableColumn id="11" name="连续异常"/>
    <x:tableColumn id="12" name="未结事件"/>
    <x:tableColumn id="13" name="最近成功日期"/>
    <x:tableColumn id="14" name="抓取模式"/>
    <x:tableColumn id="15" name="最新候选数"/>
    <x:tableColumn id="16" name="最新抓取页数"/>
    <x:tableColumn id="17" name="最新采集量"/>
    <x:tableColumn id="18" name="最新可用量"/>
    <x:tableColumn id="19" name="问题编号"/>
    <x:tableColumn id="20" name="异常/维护说明"/>
    <x:tableColumn id="21" name="用户确认原因"/>
    <x:tableColumn id="22" name="用户修复方案"/>
    <x:tableColumn id="23" name="执行状态"/>
    <x:tableColumn id="24" name="我方执行记录"/>
    <x:tableColumn id="25" name="验证结果"/>
    <x:tableColumn id="26" name="最后维护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231e6c89bc743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09bad2da34f40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edd7bab35444b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34" customHeight="1">
      <x:c r="A1" s="48" t="str">
        <x:v>过去一周信息采集与渠道维护概览</x:v>
      </x:c>
      <x:c r="B1" s="48"/>
      <x:c r="C1" s="48"/>
      <x:c r="D1" s="48"/>
      <x:c r="E1" s="48"/>
      <x:c r="F1" s="48"/>
      <x:c r="G1" s="48"/>
      <x:c r="H1" s="48"/>
    </x:row>
    <x:row r="2">
      <x:c r="A2" s="49" t="str">
        <x:v>统计周期：2026-07-29 至 2026-08-04　｜　远端报告生成：2026-08-05T07:42:45.199525+08:00</x:v>
      </x:c>
      <x:c r="B2" s="49"/>
      <x:c r="C2" s="49"/>
      <x:c r="D2" s="49"/>
      <x:c r="E2" s="49"/>
      <x:c r="F2" s="49"/>
      <x:c r="G2" s="49"/>
      <x:c r="H2" s="49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50" t="str">
        <x:v>记录天数</x:v>
      </x:c>
      <x:c r="B4" s="50" t="str"/>
      <x:c r="C4" s="50" t="str">
        <x:v>采集总量</x:v>
      </x:c>
      <x:c r="D4" s="50" t="str"/>
      <x:c r="E4" s="50" t="str">
        <x:v>系统可用量</x:v>
      </x:c>
      <x:c r="F4" s="50" t="str"/>
      <x:c r="G4" s="50" t="str">
        <x:v>系统可用率</x:v>
      </x:c>
      <x:c r="H4" s="50" t="str"/>
    </x:row>
    <x:row r="5">
      <x:c r="A5" s="51" t="n">
        <x:f>COUNTA('周采集明细'!$A$2:$A$8)</x:f>
        <x:v>7</x:v>
      </x:c>
      <x:c r="B5" s="52" t="str"/>
      <x:c r="C5" s="52" t="n">
        <x:f>SUM('周采集明细'!$B$2:$B$8)</x:f>
        <x:v>1266</x:v>
      </x:c>
      <x:c r="D5" s="52" t="str"/>
      <x:c r="E5" s="52" t="n">
        <x:f>SUM('周采集明细'!$D$2:$D$8)</x:f>
        <x:v>1209</x:v>
      </x:c>
      <x:c r="F5" s="52" t="str"/>
      <x:c r="G5" s="53" t="n">
        <x:f>IFERROR(E5/C5,0)</x:f>
        <x:v>0.9549763033175356</x:v>
      </x:c>
      <x:c r="H5" s="54" t="str"/>
    </x:row>
    <x:row r="6">
      <x:c r="A6" s="55"/>
      <x:c r="B6" s="56"/>
      <x:c r="C6" s="56"/>
      <x:c r="D6" s="56"/>
      <x:c r="E6" s="56"/>
      <x:c r="F6" s="56"/>
      <x:c r="G6" s="56"/>
      <x:c r="H6" s="57"/>
    </x:row>
    <x:row r="7">
      <x:c r="A7" s="37"/>
      <x:c r="B7" s="37"/>
      <x:c r="C7" s="37"/>
      <x:c r="D7" s="37"/>
      <x:c r="E7" s="37"/>
      <x:c r="F7" s="37"/>
      <x:c r="G7" s="37"/>
      <x:c r="H7" s="37"/>
    </x:row>
    <x:row r="8">
      <x:c r="A8" s="50" t="str">
        <x:v>配置渠道</x:v>
      </x:c>
      <x:c r="B8" s="50" t="str"/>
      <x:c r="C8" s="50" t="str">
        <x:v>当前异常</x:v>
      </x:c>
      <x:c r="D8" s="50" t="str"/>
      <x:c r="E8" s="50" t="str">
        <x:v>未结事件</x:v>
      </x:c>
      <x:c r="F8" s="50" t="str"/>
      <x:c r="G8" s="50" t="str">
        <x:v>已配置跳过</x:v>
      </x:c>
      <x:c r="H8" s="50" t="str"/>
    </x:row>
    <x:row r="9">
      <x:c r="A9" s="51" t="n">
        <x:f>COUNTA('渠道维护总表'!$B$2:$B$58)</x:f>
        <x:v>57</x:v>
      </x:c>
      <x:c r="B9" s="52"/>
      <x:c r="C9" s="52" t="n">
        <x:f>COUNTIF('渠道维护总表'!$F$2:$F$58,"零产出异常")+COUNTIF('渠道维护总表'!$F$2:$F$58,"正文质量降级")</x:f>
        <x:v>9</x:v>
      </x:c>
      <x:c r="D9" s="52"/>
      <x:c r="E9" s="52" t="n">
        <x:f>SUM('渠道维护总表'!$L$2:$L$58)</x:f>
        <x:v>83</x:v>
      </x:c>
      <x:c r="F9" s="52"/>
      <x:c r="G9" s="52" t="n">
        <x:f>COUNTIF('渠道维护总表'!$F$2:$F$58,"已配置跳过")</x:f>
        <x:v>13</x:v>
      </x:c>
      <x:c r="H9" s="54"/>
    </x:row>
    <x:row r="10">
      <x:c r="A10" s="55"/>
      <x:c r="B10" s="56"/>
      <x:c r="C10" s="56"/>
      <x:c r="D10" s="56"/>
      <x:c r="E10" s="56"/>
      <x:c r="F10" s="56"/>
      <x:c r="G10" s="56"/>
      <x:c r="H10" s="57"/>
    </x:row>
    <x:row r="11">
      <x:c r="A11" s="37"/>
      <x:c r="B11" s="37"/>
      <x:c r="C11" s="37"/>
      <x:c r="D11" s="37"/>
      <x:c r="E11" s="37"/>
      <x:c r="F11" s="37"/>
      <x:c r="G11" s="37"/>
      <x:c r="H11" s="37"/>
    </x:row>
    <x:row r="12">
      <x:c r="A12" s="33" t="str">
        <x:v>更正结论：过去一周每日均有采集和 GitHub 数据提交；当前重点是 10 个异常渠道、正文质量规则与 91 个未结事件，不是任务停摆。</x:v>
      </x:c>
      <x:c r="B12" s="33"/>
      <x:c r="C12" s="33"/>
      <x:c r="D12" s="33"/>
      <x:c r="E12" s="33"/>
      <x:c r="F12" s="33"/>
      <x:c r="G12" s="33"/>
      <x:c r="H12" s="33"/>
    </x:row>
    <x:row r="13">
      <x:c r="A13" s="37"/>
      <x:c r="B13" s="37"/>
      <x:c r="C13" s="37"/>
      <x:c r="D13" s="37"/>
      <x:c r="E13" s="37"/>
      <x:c r="F13" s="37"/>
      <x:c r="G13" s="37"/>
      <x:c r="H13" s="37"/>
    </x:row>
    <x:row r="14">
      <x:c r="A14" s="58" t="str">
        <x:v>日期</x:v>
      </x:c>
      <x:c r="B14" s="59" t="str">
        <x:v>采集量</x:v>
      </x:c>
      <x:c r="C14" s="59" t="str">
        <x:v>可用量</x:v>
      </x:c>
      <x:c r="D14" s="59" t="str">
        <x:v>可用率</x:v>
      </x:c>
      <x:c r="E14" s="59" t="str">
        <x:v>有产出渠道</x:v>
      </x:c>
      <x:c r="F14" s="59" t="str">
        <x:v>零产出渠道</x:v>
      </x:c>
      <x:c r="G14" s="59" t="str">
        <x:v>空闲渠道</x:v>
      </x:c>
      <x:c r="H14" s="60" t="str">
        <x:v>异常提示</x:v>
      </x:c>
    </x:row>
    <x:row r="15">
      <x:c r="A15" s="61" t="str">
        <x:v>2026-07-29</x:v>
      </x:c>
      <x:c r="B15" s="37" t="n">
        <x:v>219</x:v>
      </x:c>
      <x:c r="C15" s="37" t="n">
        <x:v>211</x:v>
      </x:c>
      <x:c r="D15" s="62" t="n">
        <x:v>0.9635</x:v>
      </x:c>
      <x:c r="E15" s="37" t="n">
        <x:v>30</x:v>
      </x:c>
      <x:c r="F15" s="37" t="n">
        <x:v>6</x:v>
      </x:c>
      <x:c r="G15" s="37" t="n">
        <x:v>7</x:v>
      </x:c>
      <x:c r="H15" s="43" t="str">
        <x:v>总量较 7 日中位数增至 2.19 倍</x:v>
      </x:c>
    </x:row>
    <x:row r="16">
      <x:c r="A16" s="61" t="str">
        <x:v>2026-07-30</x:v>
      </x:c>
      <x:c r="B16" s="37" t="n">
        <x:v>217</x:v>
      </x:c>
      <x:c r="C16" s="37" t="n">
        <x:v>204</x:v>
      </x:c>
      <x:c r="D16" s="62" t="n">
        <x:v>0.9401</x:v>
      </x:c>
      <x:c r="E16" s="37" t="n">
        <x:v>27</x:v>
      </x:c>
      <x:c r="F16" s="37" t="n">
        <x:v>9</x:v>
      </x:c>
      <x:c r="G16" s="37" t="n">
        <x:v>7</x:v>
      </x:c>
      <x:c r="H16" s="43" t="str">
        <x:v>正常</x:v>
      </x:c>
    </x:row>
    <x:row r="17">
      <x:c r="A17" s="61" t="str">
        <x:v>2026-07-31</x:v>
      </x:c>
      <x:c r="B17" s="37" t="n">
        <x:v>216</x:v>
      </x:c>
      <x:c r="C17" s="37" t="n">
        <x:v>206</x:v>
      </x:c>
      <x:c r="D17" s="62" t="n">
        <x:v>0.9537</x:v>
      </x:c>
      <x:c r="E17" s="37" t="n">
        <x:v>24</x:v>
      </x:c>
      <x:c r="F17" s="37" t="n">
        <x:v>11</x:v>
      </x:c>
      <x:c r="G17" s="37" t="n">
        <x:v>8</x:v>
      </x:c>
      <x:c r="H17" s="43" t="str">
        <x:v>11/43 个活跃渠道当天为 0</x:v>
      </x:c>
    </x:row>
    <x:row r="18">
      <x:c r="A18" s="61" t="str">
        <x:v>2026-08-01</x:v>
      </x:c>
      <x:c r="B18" s="37" t="n">
        <x:v>100</x:v>
      </x:c>
      <x:c r="C18" s="37" t="n">
        <x:v>96</x:v>
      </x:c>
      <x:c r="D18" s="62" t="n">
        <x:v>0.96</x:v>
      </x:c>
      <x:c r="E18" s="37" t="n">
        <x:v>13</x:v>
      </x:c>
      <x:c r="F18" s="37" t="n">
        <x:v>9</x:v>
      </x:c>
      <x:c r="G18" s="37" t="n">
        <x:v>21</x:v>
      </x:c>
      <x:c r="H18" s="43" t="str">
        <x:v>正常</x:v>
      </x:c>
    </x:row>
    <x:row r="19">
      <x:c r="A19" s="61" t="str">
        <x:v>2026-08-02</x:v>
      </x:c>
      <x:c r="B19" s="37" t="n">
        <x:v>79</x:v>
      </x:c>
      <x:c r="C19" s="37" t="n">
        <x:v>75</x:v>
      </x:c>
      <x:c r="D19" s="62" t="n">
        <x:v>0.9494</x:v>
      </x:c>
      <x:c r="E19" s="37" t="n">
        <x:v>11</x:v>
      </x:c>
      <x:c r="F19" s="37" t="n">
        <x:v>9</x:v>
      </x:c>
      <x:c r="G19" s="37" t="n">
        <x:v>23</x:v>
      </x:c>
      <x:c r="H19" s="43" t="str">
        <x:v>总量仅为 7 日中位数的 0.41 倍</x:v>
      </x:c>
    </x:row>
    <x:row r="20">
      <x:c r="A20" s="61" t="str">
        <x:v>2026-08-03</x:v>
      </x:c>
      <x:c r="B20" s="37" t="n">
        <x:v>217</x:v>
      </x:c>
      <x:c r="C20" s="37" t="n">
        <x:v>209</x:v>
      </x:c>
      <x:c r="D20" s="62" t="n">
        <x:v>0.9631</x:v>
      </x:c>
      <x:c r="E20" s="37" t="n">
        <x:v>24</x:v>
      </x:c>
      <x:c r="F20" s="37" t="n">
        <x:v>11</x:v>
      </x:c>
      <x:c r="G20" s="37" t="n">
        <x:v>8</x:v>
      </x:c>
      <x:c r="H20" s="43" t="str">
        <x:v>11/43 个活跃渠道当天为 0</x:v>
      </x:c>
    </x:row>
    <x:row r="21">
      <x:c r="A21" s="63" t="str">
        <x:v>2026-08-04</x:v>
      </x:c>
      <x:c r="B21" s="64" t="n">
        <x:v>218</x:v>
      </x:c>
      <x:c r="C21" s="64" t="n">
        <x:v>208</x:v>
      </x:c>
      <x:c r="D21" s="65" t="n">
        <x:v>0.9541</x:v>
      </x:c>
      <x:c r="E21" s="64" t="n">
        <x:v>30</x:v>
      </x:c>
      <x:c r="F21" s="64" t="n">
        <x:v>8</x:v>
      </x:c>
      <x:c r="G21" s="64" t="n">
        <x:v>5</x:v>
      </x:c>
      <x:c r="H21" s="47" t="str">
        <x:v>正常</x:v>
      </x:c>
    </x:row>
    <x:row r="22">
      <x:c r="A22" s="37"/>
      <x:c r="B22" s="37"/>
      <x:c r="C22" s="37"/>
      <x:c r="D22" s="37"/>
      <x:c r="E22" s="37"/>
      <x:c r="F22" s="37"/>
      <x:c r="G22" s="37"/>
      <x:c r="H22" s="37"/>
    </x:row>
    <x:row r="23">
      <x:c r="A23" s="66" t="str">
        <x:v>数据来源（GitHub 远端 main 分支）</x:v>
      </x:c>
      <x:c r="B23" s="66"/>
      <x:c r="C23" s="66"/>
      <x:c r="D23" s="66"/>
      <x:c r="E23" s="66"/>
      <x:c r="F23" s="66"/>
      <x:c r="G23" s="66"/>
      <x:c r="H23" s="66"/>
    </x:row>
    <x:row r="24">
      <x:c r="A24" s="37" t="str">
        <x:v>https://github.com/wodewoping-png/news-spider/blob/main/logs/daily-collection-summary.csv</x:v>
      </x:c>
      <x:c r="B24" s="37"/>
      <x:c r="C24" s="37"/>
      <x:c r="D24" s="37"/>
      <x:c r="E24" s="37"/>
      <x:c r="F24" s="37"/>
      <x:c r="G24" s="37"/>
      <x:c r="H24" s="37"/>
    </x:row>
    <x:row r="25">
      <x:c r="A25" s="37" t="str">
        <x:v>https://github.com/wodewoping-png/news-spider/blob/main/logs/channel-daily-stats.csv</x:v>
      </x:c>
      <x:c r="B25" s="37"/>
      <x:c r="C25" s="37"/>
      <x:c r="D25" s="37"/>
      <x:c r="E25" s="37"/>
      <x:c r="F25" s="37"/>
      <x:c r="G25" s="37"/>
      <x:c r="H25" s="37"/>
    </x:row>
    <x:row r="26">
      <x:c r="A26" s="37" t="str">
        <x:v>https://github.com/wodewoping-png/news-spider/blob/main/logs/channel-ops-report.json</x:v>
      </x:c>
      <x:c r="B26" s="37"/>
      <x:c r="C26" s="37"/>
      <x:c r="D26" s="37"/>
      <x:c r="E26" s="37"/>
      <x:c r="F26" s="37"/>
      <x:c r="G26" s="37"/>
      <x:c r="H26" s="37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B8"/>
    <x:mergeCell ref="C8:D8"/>
    <x:mergeCell ref="E8:F8"/>
    <x:mergeCell ref="G8:H8"/>
    <x:mergeCell ref="A9:B10"/>
    <x:mergeCell ref="C9:D10"/>
    <x:mergeCell ref="E9:F10"/>
    <x:mergeCell ref="G9:H10"/>
    <x:mergeCell ref="A12:H1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44" hidden="0" customWidth="1"/>
    <x:col min="4" max="4" width="18" hidden="0" customWidth="1"/>
    <x:col min="5" max="5" width="31" hidden="0" customWidth="1"/>
    <x:col min="6" max="6" width="22" hidden="0" customWidth="1"/>
    <x:col min="7" max="7" width="38" hidden="0" customWidth="1"/>
  </x:cols>
  <x:sheetData>
    <x:row r="1" ht="34" customHeight="1">
      <x:c r="A1" s="4" t="str">
        <x:v>采集状态定义、统计关系与问题优先级</x:v>
      </x:c>
      <x:c r="B1" s="4"/>
      <x:c r="C1" s="4"/>
      <x:c r="D1" s="4"/>
      <x:c r="E1" s="4"/>
      <x:c r="F1" s="4"/>
      <x:c r="G1" s="4"/>
    </x:row>
    <x:row r="2">
      <x:c r="A2" s="7" t="str">
        <x:v>状态定义来自项目实际代码；优先级为本次渠道审计的处理规则，不是采集程序内置等级。</x:v>
      </x:c>
      <x:c r="B2" s="7"/>
      <x:c r="C2" s="7"/>
      <x:c r="D2" s="7"/>
      <x:c r="E2" s="7"/>
      <x:c r="F2" s="7"/>
      <x:c r="G2" s="7"/>
    </x:row>
    <x:row r="4">
      <x:c r="A4" s="71" t="str">
        <x:v>状态</x:v>
      </x:c>
      <x:c r="B4" s="72" t="str">
        <x:v>进入条件</x:v>
      </x:c>
      <x:c r="C4" s="72" t="str">
        <x:v>当日预期产出</x:v>
      </x:c>
      <x:c r="D4" s="72" t="str">
        <x:v>计入 zero_sources</x:v>
      </x:c>
      <x:c r="E4" s="72" t="str">
        <x:v>是否进入自动恢复候选</x:v>
      </x:c>
      <x:c r="F4" s="72" t="str">
        <x:v>典型例子</x:v>
      </x:c>
      <x:c r="G4" s="73" t="str">
        <x:v>与零产出的关系</x:v>
      </x:c>
    </x:row>
    <x:row r="5" ht="52" customHeight="1">
      <x:c r="A5" s="74" t="str">
        <x:v>zero（零产出）</x:v>
      </x:c>
      <x:c r="B5" s="70" t="str">
        <x:v>渠道未跳过；当日采集量=0；且 expects_output_on_date=true</x:v>
      </x:c>
      <x:c r="C5" s="70" t="str">
        <x:v>是</x:v>
      </x:c>
      <x:c r="D5" s="70" t="str">
        <x:v>是</x:v>
      </x:c>
      <x:c r="E5" s="70" t="str">
        <x:v>是（zero/failed 可恢复）</x:v>
      </x:c>
      <x:c r="F5" s="70" t="str">
        <x:v>实时渠道任意日无产出；工作日渠道在周一至周五无产出</x:v>
      </x:c>
      <x:c r="G5" s="75" t="str">
        <x:v>与 idle 互斥；同为0产出，但该日按频率应有产出</x:v>
      </x:c>
    </x:row>
    <x:row r="6" ht="52" customHeight="1">
      <x:c r="A6" s="74" t="str">
        <x:v>idle（空闲）</x:v>
      </x:c>
      <x:c r="B6" s="70" t="str">
        <x:v>渠道未跳过；当日采集量=0；且 expects_output_on_date=false</x:v>
      </x:c>
      <x:c r="C6" s="70" t="str">
        <x:v>否</x:v>
      </x:c>
      <x:c r="D6" s="70" t="str">
        <x:v>否</x:v>
      </x:c>
      <x:c r="E6" s="70" t="str">
        <x:v>否</x:v>
      </x:c>
      <x:c r="F6" s="70" t="str">
        <x:v>周/月/季度/低频渠道无更新；工作日渠道周末无更新</x:v>
      </x:c>
      <x:c r="G6" s="75" t="str">
        <x:v>与 zero 互斥；代表计划内不要求当日产出</x:v>
      </x:c>
    </x:row>
    <x:row r="7" ht="52" customHeight="1">
      <x:c r="A7" s="74" t="str">
        <x:v>healthy（健康）</x:v>
      </x:c>
      <x:c r="B7" s="70" t="str">
        <x:v>变更文章数&gt;0，且所有文章 content_status=full；短于 min_content_chars 只记 short_count，不直接降级</x:v>
      </x:c>
      <x:c r="C7" s="70" t="str">
        <x:v>是/按频率</x:v>
      </x:c>
      <x:c r="D7" s="70" t="str">
        <x:v>否</x:v>
      </x:c>
      <x:c r="E7" s="70" t="str">
        <x:v>否</x:v>
      </x:c>
      <x:c r="F7" s="70" t="str">
        <x:v>有产出，且正文验证状态全部为 full；仍可能存在 short_count</x:v>
      </x:c>
      <x:c r="G7" s="75" t="str">
        <x:v>不是0产出</x:v>
      </x:c>
    </x:row>
    <x:row r="8" ht="52" customHeight="1">
      <x:c r="A8" s="74" t="str">
        <x:v>degraded（降级）</x:v>
      </x:c>
      <x:c r="B8" s="70" t="str">
        <x:v>变更文章数&gt;0，但至少一篇 content_status 不是 full</x:v>
      </x:c>
      <x:c r="C8" s="70" t="str">
        <x:v>是/按频率</x:v>
      </x:c>
      <x:c r="D8" s="70" t="str">
        <x:v>否</x:v>
      </x:c>
      <x:c r="E8" s="70" t="str">
        <x:v>否（当前恢复队列只收 zero/failed）</x:v>
      </x:c>
      <x:c r="F8" s="70" t="str">
        <x:v>空正文、付费/登录墙、截断结尾、仅 RSS 摘要或未验证正文</x:v>
      </x:c>
      <x:c r="G8" s="75" t="str">
        <x:v>不是0产出；属于有产出但全文验证不足</x:v>
      </x:c>
    </x:row>
    <x:row r="9" ht="52" customHeight="1">
      <x:c r="A9" s="74" t="str">
        <x:v>failed（失败）</x:v>
      </x:c>
      <x:c r="B9" s="70" t="str">
        <x:v>抓取过程抛出异常</x:v>
      </x:c>
      <x:c r="C9" s="70" t="str">
        <x:v>不适用</x:v>
      </x:c>
      <x:c r="D9" s="70" t="str">
        <x:v>否，单独计 failed_sources</x:v>
      </x:c>
      <x:c r="E9" s="70" t="str">
        <x:v>是</x:v>
      </x:c>
      <x:c r="F9" s="70" t="str">
        <x:v>网络、解析或程序异常导致任务失败</x:v>
      </x:c>
      <x:c r="G9" s="75" t="str">
        <x:v>可能0产出，但统计上不归 zero_sources</x:v>
      </x:c>
    </x:row>
    <x:row r="10" ht="52" customHeight="1">
      <x:c r="A10" s="74" t="str">
        <x:v>skipped（跳过）</x:v>
      </x:c>
      <x:c r="B10" s="70" t="str">
        <x:v>渠道有 skip_reason，未进入活动渠道</x:v>
      </x:c>
      <x:c r="C10" s="70" t="str">
        <x:v>不适用</x:v>
      </x:c>
      <x:c r="D10" s="70" t="str">
        <x:v>否</x:v>
      </x:c>
      <x:c r="E10" s="70" t="str">
        <x:v>否</x:v>
      </x:c>
      <x:c r="F10" s="70" t="str">
        <x:v>公众号、登录订阅、失效入口或已知不可达</x:v>
      </x:c>
      <x:c r="G10" s="75" t="str">
        <x:v>不属于 active，也不属于 zero/idle</x:v>
      </x:c>
    </x:row>
    <x:row r="11" ht="52" customHeight="1">
      <x:c r="A11" s="76" t="str">
        <x:v>already_collected（已采集）</x:v>
      </x:c>
      <x:c r="B11" s="77" t="str">
        <x:v>复跑时当日文件已有该渠道文章，避免把复跑状态 zero 误报为零产出</x:v>
      </x:c>
      <x:c r="C11" s="77" t="str">
        <x:v>已有历史产出</x:v>
      </x:c>
      <x:c r="D11" s="77" t="str">
        <x:v>否</x:v>
      </x:c>
      <x:c r="E11" s="77" t="str">
        <x:v>否</x:v>
      </x:c>
      <x:c r="F11" s="77" t="str">
        <x:v>重复运行同一目标日</x:v>
      </x:c>
      <x:c r="G11" s="78" t="str">
        <x:v>审计统计按健康处理</x:v>
      </x:c>
    </x:row>
    <x:row r="13">
      <x:c r="A13" s="9" t="str">
        <x:v>零产出与空闲的统计关系</x:v>
      </x:c>
      <x:c r="B13" s="9"/>
      <x:c r="C13" s="9"/>
      <x:c r="D13" s="9"/>
      <x:c r="E13" s="9"/>
      <x:c r="F13" s="9"/>
      <x:c r="G13" s="9"/>
    </x:row>
    <x:row r="14">
      <x:c r="A14" s="79" t="str">
        <x:v>关系</x:v>
      </x:c>
      <x:c r="B14" s="80" t="str">
        <x:v>说明</x:v>
      </x:c>
      <x:c r="C14" s="80" t="str"/>
      <x:c r="D14" s="80" t="str"/>
      <x:c r="E14" s="80" t="str"/>
      <x:c r="F14" s="80" t="str"/>
      <x:c r="G14" s="81" t="str"/>
    </x:row>
    <x:row r="15" ht="34" customHeight="1">
      <x:c r="A15" s="74" t="str">
        <x:v>互斥规则</x:v>
      </x:c>
      <x:c r="B15" s="70" t="str">
        <x:v>同一渠道同一天只会是 zero 或 idle 之一：是否“预期当日产出”是分界线。</x:v>
      </x:c>
      <x:c r="C15" s="70" t="str"/>
      <x:c r="D15" s="70" t="str"/>
      <x:c r="E15" s="70" t="str"/>
      <x:c r="F15" s="70" t="str"/>
      <x:c r="G15" s="75" t="str"/>
    </x:row>
    <x:row r="16" ht="34" customHeight="1">
      <x:c r="A16" s="76" t="str">
        <x:v>2026-08-04 核对</x:v>
      </x:c>
      <x:c r="B16" s="77" t="str">
        <x:v>43 个活动渠道 = 30 个有产出渠道 + 8 个 zero + 5 个 idle + 0 个 failed；另有 14 个 skipped，不计入活动渠道。</x:v>
      </x:c>
      <x:c r="C16" s="77" t="str"/>
      <x:c r="D16" s="77" t="str"/>
      <x:c r="E16" s="77" t="str"/>
      <x:c r="F16" s="77" t="str"/>
      <x:c r="G16" s="78" t="str"/>
    </x:row>
    <x:row r="18">
      <x:c r="A18" s="9" t="str">
        <x:v>问题优先级定义</x:v>
      </x:c>
      <x:c r="B18" s="9"/>
      <x:c r="C18" s="9"/>
      <x:c r="D18" s="9"/>
      <x:c r="E18" s="9"/>
      <x:c r="F18" s="9"/>
      <x:c r="G18" s="9"/>
    </x:row>
    <x:row r="19">
      <x:c r="A19" s="71" t="str">
        <x:v>优先级</x:v>
      </x:c>
      <x:c r="B19" s="72" t="str">
        <x:v>定义</x:v>
      </x:c>
      <x:c r="C19" s="72" t="str">
        <x:v>本次审计触发条件</x:v>
      </x:c>
      <x:c r="D19" s="72" t="str">
        <x:v>建议分析时限</x:v>
      </x:c>
      <x:c r="E19" s="72" t="str">
        <x:v>本表实例</x:v>
      </x:c>
      <x:c r="F19" s="72" t="str">
        <x:v>是否直接代表当前采集故障</x:v>
      </x:c>
      <x:c r="G19" s="73" t="str">
        <x:v>备注</x:v>
      </x:c>
    </x:row>
    <x:row r="20" ht="66" customHeight="1">
      <x:c r="A20" s="74" t="str">
        <x:v>P0</x:v>
      </x:c>
      <x:c r="B20" s="70" t="str">
        <x:v>持续且严重的数据完全缺失/完全不可用</x:v>
      </x:c>
      <x:c r="C20" s="70" t="str">
        <x:v>实时渠道连续7/7个应产出日为0；或连续7天降级且周可用量为0</x:v>
      </x:c>
      <x:c r="D20" s="70" t="str">
        <x:v>当天优先分析</x:v>
      </x:c>
      <x:c r="E20" s="70" t="str">
        <x:v>ZERO-001～003、QUAL-001</x:v>
      </x:c>
      <x:c r="F20" s="70" t="str">
        <x:v>是</x:v>
      </x:c>
      <x:c r="G20" s="75" t="str">
        <x:v>最高优先，先确认站点当天是否确有更新，再定位采集原因</x:v>
      </x:c>
    </x:row>
    <x:row r="21" ht="66" customHeight="1">
      <x:c r="A21" s="74" t="str">
        <x:v>P1</x:v>
      </x:c>
      <x:c r="B21" s="70" t="str">
        <x:v>当前存在重大但非全周完全中断的问题，或系统性质量/运维问题</x:v>
      </x:c>
      <x:c r="C21" s="70" t="str">
        <x:v>连续2—6个应产出日为0；工作日渠道5/5为0；周可用率&lt;70%；多渠道短正文仍标 healthy；事件严重积压</x:v>
      </x:c>
      <x:c r="D21" s="70" t="str">
        <x:v>1—2个工作日内</x:v>
      </x:c>
      <x:c r="E21" s="70" t="str">
        <x:v>ZERO-004～008、QUAL-002～003、OPS-001</x:v>
      </x:c>
      <x:c r="F21" s="70" t="str">
        <x:v>通常是；OPS-001/QUAL-003需确认</x:v>
      </x:c>
      <x:c r="G21" s="75" t="str">
        <x:v>工作日渠道周末 idle 不计入故障持续天数</x:v>
      </x:c>
    </x:row>
    <x:row r="22" ht="66" customHeight="1">
      <x:c r="A22" s="74" t="str">
        <x:v>P2</x:v>
      </x:c>
      <x:c r="B22" s="70" t="str">
        <x:v>覆盖、告警闭环或聚合波动风险，尚不能直接证明当前采集仍故障</x:v>
      </x:c>
      <x:c r="C22" s="70" t="str">
        <x:v>已恢复但事件未关闭；配置跳过；总量异常波动</x:v>
      </x:c>
      <x:c r="D22" s="70" t="str">
        <x:v>本周内排查/确认</x:v>
      </x:c>
      <x:c r="E22" s="70" t="str">
        <x:v>ALERT-001、COVER-001、VOL-001</x:v>
      </x:c>
      <x:c r="F22" s="70" t="str">
        <x:v>否/待确认</x:v>
      </x:c>
      <x:c r="G22" s="75" t="str">
        <x:v>先核实业务预期，再决定是否修复或保留</x:v>
      </x:c>
    </x:row>
    <x:row r="23" ht="66" customHeight="1">
      <x:c r="A23" s="76" t="str">
        <x:v>P3</x:v>
      </x:c>
      <x:c r="B23" s="77" t="str">
        <x:v>观察项或体验优化，对当前数据完整性无明显影响</x:v>
      </x:c>
      <x:c r="C23" s="77" t="str">
        <x:v>仅优化展示、文档、低风险维护；没有持续异常证据</x:v>
      </x:c>
      <x:c r="D23" s="77" t="str">
        <x:v>排期优化</x:v>
      </x:c>
      <x:c r="E23" s="77" t="str">
        <x:v>本周暂无</x:v>
      </x:c>
      <x:c r="F23" s="77" t="str">
        <x:v>否</x:v>
      </x:c>
      <x:c r="G23" s="78" t="str">
        <x:v>后续出现此类事项再录入</x:v>
      </x:c>
    </x:row>
    <x:row r="25">
      <x:c r="A25" s="9" t="str">
        <x:v>定义来源（GitHub 远端 main 分支）</x:v>
      </x:c>
      <x:c r="B25" s="9"/>
      <x:c r="C25" s="9"/>
      <x:c r="D25" s="9"/>
      <x:c r="E25" s="9"/>
      <x:c r="F25" s="9"/>
      <x:c r="G25" s="9"/>
    </x:row>
    <x:row r="26">
      <x:c r="A26" t="str">
        <x:v>https://github.com/wodewoping-png/news-spider/blob/main/src/main.py</x:v>
      </x:c>
    </x:row>
    <x:row r="27">
      <x:c r="A27" t="str">
        <x:v>https://github.com/wodewoping-png/news-spider/blob/main/src/load_sources.py</x:v>
      </x:c>
    </x:row>
    <x:row r="28">
      <x:c r="A28" t="str">
        <x:v>https://github.com/wodewoping-png/news-spider/blob/main/src/audit.py</x:v>
      </x:c>
    </x:row>
    <x:row r="29">
      <x:c r="A29" t="str">
        <x:v>https://github.com/wodewoping-png/news-spider/blob/main/src/recovery.py</x:v>
      </x:c>
    </x:row>
  </x:sheetData>
  <x:mergeCells>
    <x:mergeCell ref="A1:G1"/>
    <x:mergeCell ref="A2:G2"/>
    <x:mergeCell ref="A13:G13"/>
    <x:mergeCell ref="B14:G14"/>
    <x:mergeCell ref="B15:G15"/>
    <x:mergeCell ref="B16:G16"/>
    <x:mergeCell ref="A18:G18"/>
    <x:mergeCell ref="A25:G25"/>
    <x:mergeCell ref="A26:G26"/>
    <x:mergeCell ref="A27:G27"/>
    <x:mergeCell ref="A28:G28"/>
    <x:mergeCell ref="A29:G29"/>
  </x:mergeCells>
  <x:conditionalFormatting sqref="A5:A11">
    <x:cfRule type="containsText" dxfId="0" priority="1" operator="containsText" text="zero"/>
    <x:cfRule type="containsText" dxfId="1" priority="2" operator="containsText" text="idle"/>
    <x:cfRule type="containsText" dxfId="2" priority="3" operator="containsText" text="healthy"/>
    <x:cfRule type="containsText" dxfId="3" priority="4" operator="containsText" text="degraded"/>
  </x:conditionalFormatting>
  <x:conditionalFormatting sqref="A20:A23">
    <x:cfRule type="containsText" dxfId="4" priority="5" operator="containsText" text="P0"/>
    <x:cfRule type="containsText" dxfId="5" priority="6" operator="containsText" text="P1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9" hidden="0" customWidth="1"/>
    <x:col min="4" max="4" width="34" hidden="0" customWidth="1"/>
    <x:col min="5" max="5" width="18" hidden="0" customWidth="1"/>
    <x:col min="6" max="6" width="16" hidden="0" customWidth="1"/>
    <x:col min="7" max="7" width="25" hidden="0" customWidth="1"/>
    <x:col min="8" max="8" width="20" hidden="0" customWidth="1"/>
    <x:col min="9" max="9" width="38" hidden="0" customWidth="1"/>
    <x:col min="10" max="10" width="38" hidden="0" customWidth="1"/>
    <x:col min="11" max="11" width="28" hidden="0" customWidth="1"/>
    <x:col min="12" max="12" width="28" hidden="0" customWidth="1"/>
    <x:col min="13" max="13" width="12" hidden="0" customWidth="1"/>
    <x:col min="14" max="14" width="12" hidden="0" customWidth="1"/>
  </x:cols>
  <x:sheetData>
    <x:row r="1">
      <x:c r="A1" s="69" t="str">
        <x:v>处理顺序</x:v>
      </x:c>
      <x:c r="B1" s="69" t="str">
        <x:v>问题编号</x:v>
      </x:c>
      <x:c r="C1" s="69" t="str">
        <x:v>优先级</x:v>
      </x:c>
      <x:c r="D1" s="69" t="str">
        <x:v>优先级判定依据</x:v>
      </x:c>
      <x:c r="E1" s="69" t="str">
        <x:v>建议分析时限</x:v>
      </x:c>
      <x:c r="F1" s="69" t="str">
        <x:v>类别</x:v>
      </x:c>
      <x:c r="G1" s="69" t="str">
        <x:v>范围/渠道</x:v>
      </x:c>
      <x:c r="H1" s="69" t="str">
        <x:v>发生周期</x:v>
      </x:c>
      <x:c r="I1" s="69" t="str">
        <x:v>GitHub 证据</x:v>
      </x:c>
      <x:c r="J1" s="69" t="str">
        <x:v>影响</x:v>
      </x:c>
      <x:c r="K1" s="69" t="str">
        <x:v>用户确认原因</x:v>
      </x:c>
      <x:c r="L1" s="69" t="str">
        <x:v>用户修复方案</x:v>
      </x:c>
      <x:c r="M1" s="69" t="str">
        <x:v>执行状态</x:v>
      </x:c>
      <x:c r="N1" s="69" t="str">
        <x:v>问题状态</x:v>
      </x:c>
    </x:row>
    <x:row r="2" ht="58" customHeight="1">
      <x:c r="A2" s="82" t="n">
        <x:v>1</x:v>
      </x:c>
      <x:c r="B2" s="82" t="str">
        <x:v>ZERO-001</x:v>
      </x:c>
      <x:c r="C2" s="82" t="str">
        <x:v>P0</x:v>
      </x:c>
      <x:c r="D2" s="70" t="str">
        <x:v>实时渠道连续 7/7 个应产出日为 0</x:v>
      </x:c>
      <x:c r="E2" s="70" t="str">
        <x:v>当天优先分析</x:v>
      </x:c>
      <x:c r="F2" s="70" t="str">
        <x:v>持续零产出</x:v>
      </x:c>
      <x:c r="G2" s="70" t="str">
        <x:v>光伏测试网</x:v>
      </x:c>
      <x:c r="H2" s="70" t="str">
        <x:v>2026-07-29—08-04</x:v>
      </x:c>
      <x:c r="I2" s="70" t="str">
        <x:v>7/7 天零产出；周采集 0。8/4 发现 11 个候选、抓取 11 页但产出 0。</x:v>
      </x:c>
      <x:c r="J2" s="70" t="str">
        <x:v>渠道整周无信息入库</x:v>
      </x:c>
      <x:c r="K2" s="83" t="str"/>
      <x:c r="L2" s="83" t="str"/>
      <x:c r="M2" s="82" t="str">
        <x:v>待执行</x:v>
      </x:c>
      <x:c r="N2" s="82" t="str">
        <x:v>未修复</x:v>
      </x:c>
    </x:row>
    <x:row r="3" ht="132" customHeight="1">
      <x:c r="A3" s="82" t="n">
        <x:v>2</x:v>
      </x:c>
      <x:c r="B3" s="82" t="str">
        <x:v>ZERO-002</x:v>
      </x:c>
      <x:c r="C3" s="82" t="str">
        <x:v>P0</x:v>
      </x:c>
      <x:c r="D3" s="70" t="str">
        <x:v>实时渠道连续 7/7 个应产出日为 0</x:v>
      </x:c>
      <x:c r="E3" s="70" t="str">
        <x:v>当天优先分析</x:v>
      </x:c>
      <x:c r="F3" s="70" t="str">
        <x:v>持续零产出</x:v>
      </x:c>
      <x:c r="G3" s="70" t="str">
        <x:v>国际能源网</x:v>
      </x:c>
      <x:c r="H3" s="70" t="str">
        <x:v>2026-07-29—08-04</x:v>
      </x:c>
      <x:c r="I3" s="70" t="str">
        <x:v>2026-08-05 RIOnews 真实文件验证并回补：07-28 6篇、07-29 5篇、07-30 2篇、07-31 6篇、08-04 5篇，合计24篇；URL唯一24个，24篇正文均≥200字。</x:v>
      </x:c>
      <x:c r="J3" s="70" t="str">
        <x:v>渠道整周无信息入库</x:v>
      </x:c>
      <x:c r="K3" s="83" t="str">
        <x:v>国际能源网直接网页抓取对页面结构和日期/正文解析依赖高，导致持续零产出；RIOnews 已通过 API 稳定汇集其宏观新闻栏目。</x:v>
      </x:c>
      <x:c r="L3" s="83" t="str">
        <x:v>停止国际能源网直接网页抓取；改用 RIOnews 专用导入器，从每日 Excel 精确筛选发布媒体前缀“国际能源网_”；GitHub Actions 先用 Secrets 调用 RIO API，再执行统一入库与 URL 去重。</x:v>
      </x:c>
      <x:c r="M3" s="70" t="str">
        <x:v>已完成</x:v>
      </x:c>
      <x:c r="N3" s="70" t="str">
        <x:v>已修复</x:v>
      </x:c>
    </x:row>
    <x:row r="4" ht="132" customHeight="1">
      <x:c r="A4" s="82" t="n">
        <x:v>3</x:v>
      </x:c>
      <x:c r="B4" s="82" t="str">
        <x:v>ZERO-003</x:v>
      </x:c>
      <x:c r="C4" s="82" t="str">
        <x:v>P0</x:v>
      </x:c>
      <x:c r="D4" s="70" t="str">
        <x:v>实时渠道连续 7/7 个应产出日为 0</x:v>
      </x:c>
      <x:c r="E4" s="70" t="str">
        <x:v>当天优先分析</x:v>
      </x:c>
      <x:c r="F4" s="70" t="str">
        <x:v>持续零产出</x:v>
      </x:c>
      <x:c r="G4" s="70" t="str">
        <x:v>我爱电车网</x:v>
      </x:c>
      <x:c r="H4" s="70" t="str">
        <x:v>2026-07-29—08-04</x:v>
      </x:c>
      <x:c r="I4" s="70" t="str">
        <x:v>2026-08-05 RIOnews 真实文件验证并回补：07-28 2篇、08-03 1篇、08-04 4篇，合计7篇；URL唯一7个，7篇正文均≥200字。</x:v>
      </x:c>
      <x:c r="J4" s="70" t="str">
        <x:v>渠道整周无信息入库</x:v>
      </x:c>
      <x:c r="K4" s="83" t="str">
        <x:v>我爱电车网直接网页抓取对页面结构和日期/正文解析依赖高，导致持续零产出；RIOnews 已通过 API 稳定汇集其首页新闻。</x:v>
      </x:c>
      <x:c r="L4" s="83" t="str">
        <x:v>停止我爱电车网直接网页抓取；改用 RIOnews 专用导入器，从每日 Excel 精确筛选发布媒体前缀“我爱电车网_”；GitHub Actions 先用 Secrets 调用 RIO API，再执行统一入库与 URL 去重。</x:v>
      </x:c>
      <x:c r="M4" s="70" t="str">
        <x:v>已完成</x:v>
      </x:c>
      <x:c r="N4" s="70" t="str">
        <x:v>已修复</x:v>
      </x:c>
    </x:row>
    <x:row r="5" ht="58" customHeight="1">
      <x:c r="A5" s="82" t="n">
        <x:v>4</x:v>
      </x:c>
      <x:c r="B5" s="82" t="str">
        <x:v>QUAL-001</x:v>
      </x:c>
      <x:c r="C5" s="82" t="str">
        <x:v>P0</x:v>
      </x:c>
      <x:c r="D5" s="70" t="str">
        <x:v>连续 7/7 天降级，且周采集 39 篇可用量为 0</x:v>
      </x:c>
      <x:c r="E5" s="70" t="str">
        <x:v>当天优先分析</x:v>
      </x:c>
      <x:c r="F5" s="70" t="str">
        <x:v>正文质量</x:v>
      </x:c>
      <x:c r="G5" s="70" t="str">
        <x:v>INSIDEEVs</x:v>
      </x:c>
      <x:c r="H5" s="70" t="str">
        <x:v>2026-07-29—08-04</x:v>
      </x:c>
      <x:c r="I5" s="70" t="str">
        <x:v>周采集 39 篇、可用 0 篇；7/7 天均为 degraded。8/4 正文仅 71—135 字。</x:v>
      </x:c>
      <x:c r="J5" s="70" t="str">
        <x:v>标题/摘要被采到，但正文全部不可用</x:v>
      </x:c>
      <x:c r="K5" s="83" t="str"/>
      <x:c r="L5" s="83" t="str"/>
      <x:c r="M5" s="82" t="str">
        <x:v>待执行</x:v>
      </x:c>
      <x:c r="N5" s="82" t="str">
        <x:v>未修复</x:v>
      </x:c>
    </x:row>
    <x:row r="6" ht="132" customHeight="1">
      <x:c r="A6" s="82" t="n">
        <x:v>5</x:v>
      </x:c>
      <x:c r="B6" s="82" t="str">
        <x:v>ZERO-004</x:v>
      </x:c>
      <x:c r="C6" s="82" t="str">
        <x:v>P1</x:v>
      </x:c>
      <x:c r="D6" s="70" t="str">
        <x:v>当前连续 6 天零产出，但周内曾有 1 篇可用产出</x:v>
      </x:c>
      <x:c r="E6" s="70" t="str">
        <x:v>1—2 个工作日内</x:v>
      </x:c>
      <x:c r="F6" s="70" t="str">
        <x:v>持续零产出</x:v>
      </x:c>
      <x:c r="G6" s="70" t="str">
        <x:v>电池网</x:v>
      </x:c>
      <x:c r="H6" s="70" t="str">
        <x:v>2026-07-30—08-04</x:v>
      </x:c>
      <x:c r="I6" s="70" t="str">
        <x:v>2026-08-05 RIOnews 真实文件验证并回补：07-27 1篇、08-04 4篇，合计5篇；URL唯一5个，5篇正文均≥200字。</x:v>
      </x:c>
      <x:c r="J6" s="70" t="str">
        <x:v>渠道基本失去持续产出</x:v>
      </x:c>
      <x:c r="K6" s="83" t="str">
        <x:v>电池网直接网页抓取对页面结构和日期/正文解析依赖高，导致持续零产出；RIOnews 已通过 API 稳定汇集其国内、企业等新闻栏目。</x:v>
      </x:c>
      <x:c r="L6" s="83" t="str">
        <x:v>停止电池网直接网页抓取；改用 RIOnews 专用导入器，从每日 Excel 精确筛选发布媒体前缀“电池网_”；GitHub Actions 先用 Secrets 调用 RIO API，再执行统一入库与 URL 去重。</x:v>
      </x:c>
      <x:c r="M6" s="70" t="str">
        <x:v>已完成</x:v>
      </x:c>
      <x:c r="N6" s="70" t="str">
        <x:v>已修复</x:v>
      </x:c>
    </x:row>
    <x:row r="7" ht="132" customHeight="1">
      <x:c r="A7" s="82" t="n">
        <x:v>6</x:v>
      </x:c>
      <x:c r="B7" s="82" t="str">
        <x:v>ZERO-005</x:v>
      </x:c>
      <x:c r="C7" s="82" t="str">
        <x:v>P1</x:v>
      </x:c>
      <x:c r="D7" s="70" t="str">
        <x:v>工作日渠道 5/5 个应产出日为 0；周末 idle 不计故障天</x:v>
      </x:c>
      <x:c r="E7" s="70" t="str">
        <x:v>1—2 个工作日内</x:v>
      </x:c>
      <x:c r="F7" s="70" t="str">
        <x:v>工作日零产出</x:v>
      </x:c>
      <x:c r="G7" s="70" t="str">
        <x:v>EnergyTrend储能</x:v>
      </x:c>
      <x:c r="H7" s="70" t="str">
        <x:v>2026-07-29—08-04</x:v>
      </x:c>
      <x:c r="I7" s="70" t="str">
        <x:v>2026-08-05 实测 RSS HTTP 200，当前30条；过滤 pricequotes 后29条新闻。回补：07-29 4篇、07-30 3篇、07-31 4篇、08-04 8篇，合计19篇，URL唯一19个，19篇正文均≥200字。08-01/02为周末 idle，08-03 RSS 无当日新闻。</x:v>
      </x:c>
      <x:c r="J7" s="70" t="str">
        <x:v>工作日信息缺失</x:v>
      </x:c>
      <x:c r="K7" s="83" t="str">
        <x:v>原列表抓取依赖页面结构与详情日期解析，候选页请求成功但目标日期持续零入库。</x:v>
      </x:c>
      <x:c r="L7" s="83" t="str">
        <x:v>改用 https://www.energytrend.cn/rss.xml；仅保留 /news/YYYYMMDD-ID.html，排除 pricequotes/research；RSS 无摘要时拉取详情正文，继续执行目标日期和 URL 去重。</x:v>
      </x:c>
      <x:c r="M7" s="70" t="str">
        <x:v>已完成</x:v>
      </x:c>
      <x:c r="N7" s="70" t="str">
        <x:v>已修复</x:v>
      </x:c>
    </x:row>
    <x:row r="8" ht="132" customHeight="1">
      <x:c r="A8" s="82" t="n">
        <x:v>7</x:v>
      </x:c>
      <x:c r="B8" s="82" t="str">
        <x:v>ZERO-006</x:v>
      </x:c>
      <x:c r="C8" s="82" t="str">
        <x:v>P1</x:v>
      </x:c>
      <x:c r="D8" s="70" t="str">
        <x:v>工作日渠道 5/5 个应产出日为 0；周末 idle 不计故障天</x:v>
      </x:c>
      <x:c r="E8" s="70" t="str">
        <x:v>1—2 个工作日内</x:v>
      </x:c>
      <x:c r="F8" s="70" t="str">
        <x:v>工作日零产出</x:v>
      </x:c>
      <x:c r="G8" s="70" t="str">
        <x:v>中国能源网</x:v>
      </x:c>
      <x:c r="H8" s="70" t="str">
        <x:v>2026-07-29—08-04</x:v>
      </x:c>
      <x:c r="I8" s="70" t="str">
        <x:v>2026-08-05 RIOnews 真实文件验证并回补：07-28 22篇、08-03 24篇、08-04 5篇，合计51篇，URL唯一51个；50篇正文≥200字，1篇为184字短讯。其余可用日期无中国能源网命中。</x:v>
      </x:c>
      <x:c r="J8" s="70" t="str">
        <x:v>工作日信息缺失</x:v>
      </x:c>
      <x:c r="K8" s="83" t="str">
        <x:v>中国能源网页面入口/详情直抓虽发现候选，但日期与正文解析后持续零产出；RIOnews 已通过 API 稳定汇集该站新能源、节能低碳栏目。</x:v>
      </x:c>
      <x:c r="L8" s="83" t="str">
        <x:v>停止直接网页抓取；注册 RIONewsChinaEnergyScraper，从每日 Excel 精确筛选发布媒体前缀“中国能源网_”；GitHub Actions 先用 Secrets 调用 RIO API 并写入 Runner 临时目录，再执行统一入库与 URL 去重。</x:v>
      </x:c>
      <x:c r="M8" s="70" t="str">
        <x:v>已完成</x:v>
      </x:c>
      <x:c r="N8" s="70" t="str">
        <x:v>已修复</x:v>
      </x:c>
    </x:row>
    <x:row r="9" ht="148" customHeight="1">
      <x:c r="A9" s="82" t="n">
        <x:v>8</x:v>
      </x:c>
      <x:c r="B9" s="82" t="str">
        <x:v>ZERO-007</x:v>
      </x:c>
      <x:c r="C9" s="82" t="str">
        <x:v>P1</x:v>
      </x:c>
      <x:c r="D9" s="70" t="str">
        <x:v>工作日渠道 5/5 个应产出日为 0；周末 idle 不计故障天</x:v>
      </x:c>
      <x:c r="E9" s="70" t="str">
        <x:v>1—2 个工作日内</x:v>
      </x:c>
      <x:c r="F9" s="70" t="str">
        <x:v>工作日零产出</x:v>
      </x:c>
      <x:c r="G9" s="70" t="str">
        <x:v>pv magazine C&amp;I PV</x:v>
      </x:c>
      <x:c r="H9" s="70" t="str">
        <x:v>2026-07-29—08-04</x:v>
      </x:c>
      <x:c r="I9" s="70" t="str">
        <x:v>2026-08-05 实网回补：08-01 idle 0、08-02 idle 0、08-03 13、08-04 6、08-05 0（截至测试时官网无当日文章）；合计19篇，URL唯一19，正文均不少于1,562字符。</x:v>
      </x:c>
      <x:c r="J9" s="70" t="str">
        <x:v>工商业光伏专题信息缺失</x:v>
      </x:c>
      <x:c r="K9" s="83" t="str">
        <x:v>列表入口仍指向旧 commercial-industrial 标签页，且通用选择器会混入页面上半部分内容；未限定 chronological feed，也未跟随底部分页。</x:v>
      </x:c>
      <x:c r="L9" s="83" t="str">
        <x:v>改用 https://www.pv-magazine.com/latest-news/；从 pvmagazine-article-feed 的 __container 边界后读取 __inner；仅提取 post-block__title；跟随 Next 分页；详情正文限定 .pvmagazine-post-content .entry-content。</x:v>
      </x:c>
      <x:c r="M9" s="70" t="str">
        <x:v>已完成</x:v>
      </x:c>
      <x:c r="N9" s="70" t="str">
        <x:v>已修复</x:v>
      </x:c>
    </x:row>
    <x:row r="10" ht="58" customHeight="1">
      <x:c r="A10" s="82" t="n">
        <x:v>9</x:v>
      </x:c>
      <x:c r="B10" s="82" t="str">
        <x:v>QUAL-002</x:v>
      </x:c>
      <x:c r="C10" s="82" t="str">
        <x:v>P1</x:v>
      </x:c>
      <x:c r="D10" s="70" t="str">
        <x:v>周可用率 43.3%，低于本次审计的 70% 严重降级线</x:v>
      </x:c>
      <x:c r="E10" s="70" t="str">
        <x:v>1—2 个工作日内</x:v>
      </x:c>
      <x:c r="F10" s="70" t="str">
        <x:v>正文质量</x:v>
      </x:c>
      <x:c r="G10" s="70" t="str">
        <x:v>H2 View</x:v>
      </x:c>
      <x:c r="H10" s="70" t="str">
        <x:v>2026-07-29—08-04</x:v>
      </x:c>
      <x:c r="I10" s="70" t="str">
        <x:v>周采集 30 篇、可用 13 篇；5 个工作日均 degraded，周末 2 天 idle。</x:v>
      </x:c>
      <x:c r="J10" s="70" t="str">
        <x:v>约 56.7% 周采集正文未通过可用性校验</x:v>
      </x:c>
      <x:c r="K10" s="83" t="str"/>
      <x:c r="L10" s="83" t="str"/>
      <x:c r="M10" s="82" t="str">
        <x:v>待执行</x:v>
      </x:c>
      <x:c r="N10" s="82" t="str">
        <x:v>未修复</x:v>
      </x:c>
    </x:row>
    <x:row r="11" ht="58" customHeight="1">
      <x:c r="A11" s="82" t="n">
        <x:v>10</x:v>
      </x:c>
      <x:c r="B11" s="82" t="str">
        <x:v>ZERO-008</x:v>
      </x:c>
      <x:c r="C11" s="82" t="str">
        <x:v>P1</x:v>
      </x:c>
      <x:c r="D11" s="70" t="str">
        <x:v>最新连续 2 个应产出工作日为 0，尚未达到整周实时渠道停摆条件</x:v>
      </x:c>
      <x:c r="E11" s="70" t="str">
        <x:v>1—2 个工作日内</x:v>
      </x:c>
      <x:c r="F11" s="70" t="str">
        <x:v>近期零产出</x:v>
      </x:c>
      <x:c r="G11" s="70" t="str">
        <x:v>4C Offshore</x:v>
      </x:c>
      <x:c r="H11" s="70" t="str">
        <x:v>2026-08-03—08-04</x:v>
      </x:c>
      <x:c r="I11" s="70" t="str">
        <x:v>前 3 个工作日正常、周末 idle，最近 2 个工作日连续为零；8/4 有 94 个候选、抓取 10 页。</x:v>
      </x:c>
      <x:c r="J11" s="70" t="str">
        <x:v>最新两天离岸风电信息缺失</x:v>
      </x:c>
      <x:c r="K11" s="83" t="str"/>
      <x:c r="L11" s="83" t="str"/>
      <x:c r="M11" s="82" t="str">
        <x:v>待执行</x:v>
      </x:c>
      <x:c r="N11" s="82" t="str">
        <x:v>未修复</x:v>
      </x:c>
    </x:row>
    <x:row r="12" ht="58" customHeight="1">
      <x:c r="A12" s="82" t="n">
        <x:v>11</x:v>
      </x:c>
      <x:c r="B12" s="82" t="str">
        <x:v>QUAL-003</x:v>
      </x:c>
      <x:c r="C12" s="82" t="str">
        <x:v>P1</x:v>
      </x:c>
      <x:c r="D12" s="70" t="str">
        <x:v>多个渠道短正文仍为 healthy；需确认 short_count 是否应参与状态判定</x:v>
      </x:c>
      <x:c r="E12" s="70" t="str">
        <x:v>1—2 个工作日内</x:v>
      </x:c>
      <x:c r="F12" s="70" t="str">
        <x:v>质量门槛覆盖</x:v>
      </x:c>
      <x:c r="G12" s="70" t="str">
        <x:v>多个健康渠道</x:v>
      </x:c>
      <x:c r="H12" s="70" t="str">
        <x:v>2026-08-04</x:v>
      </x:c>
      <x:c r="I12" s="70" t="str">
        <x:v>远端代码以 content_status=full 判定可用，min_content_chars 仅生成 short_count、不直接改变 healthy；Renewables Now 14/14 篇低于 500 字，北极星储能网 20/20 篇均为 374 字。</x:v>
      </x:c>
      <x:c r="J12" s="70" t="str">
        <x:v>需确认短正文是否允许计为 full；否则 95.5% 系统可用率可能高估真实全文完整度</x:v>
      </x:c>
      <x:c r="K12" s="83" t="str"/>
      <x:c r="L12" s="83" t="str"/>
      <x:c r="M12" s="82" t="str">
        <x:v>待执行</x:v>
      </x:c>
      <x:c r="N12" s="82" t="str">
        <x:v>未修复</x:v>
      </x:c>
    </x:row>
    <x:row r="13" ht="58" customHeight="1">
      <x:c r="A13" s="82" t="n">
        <x:v>12</x:v>
      </x:c>
      <x:c r="B13" s="82" t="str">
        <x:v>OPS-001</x:v>
      </x:c>
      <x:c r="C13" s="82" t="str">
        <x:v>P1</x:v>
      </x:c>
      <x:c r="D13" s="70" t="str">
        <x:v>系统性事件积压，但不等同于当前全局采集停摆</x:v>
      </x:c>
      <x:c r="E13" s="70" t="str">
        <x:v>1—2 个工作日内</x:v>
      </x:c>
      <x:c r="F13" s="70" t="str">
        <x:v>事件积压</x:v>
      </x:c>
      <x:c r="G13" s="70" t="str">
        <x:v>全渠道</x:v>
      </x:c>
      <x:c r="H13" s="70" t="str">
        <x:v>截至 2026-08-05</x:v>
      </x:c>
      <x:c r="I13" s="70" t="str">
        <x:v>远端报告有 91 个未结事件；本周新增/关联 63 个，全部 pending_confirmation，尝试次数合计 0。</x:v>
      </x:c>
      <x:c r="J13" s="70" t="str">
        <x:v>当前故障与历史缺口难以快速区分，修复队列失真</x:v>
      </x:c>
      <x:c r="K13" s="83" t="str"/>
      <x:c r="L13" s="83" t="str"/>
      <x:c r="M13" s="82" t="str">
        <x:v>待执行</x:v>
      </x:c>
      <x:c r="N13" s="82" t="str">
        <x:v>未修复</x:v>
      </x:c>
    </x:row>
    <x:row r="14" ht="58" customHeight="1">
      <x:c r="A14" s="82" t="n">
        <x:v>13</x:v>
      </x:c>
      <x:c r="B14" s="82" t="str">
        <x:v>ALERT-001</x:v>
      </x:c>
      <x:c r="C14" s="82" t="str">
        <x:v>P2</x:v>
      </x:c>
      <x:c r="D14" s="70" t="str">
        <x:v>影响告警准确性和闭环效率，未直接证明当前数据仍缺失</x:v>
      </x:c>
      <x:c r="E14" s="70" t="str">
        <x:v>本周内排查/确认</x:v>
      </x:c>
      <x:c r="F14" s="70" t="str">
        <x:v>告警/闭环规则</x:v>
      </x:c>
      <x:c r="G14" s="70" t="str">
        <x:v>已恢复渠道</x:v>
      </x:c>
      <x:c r="H14" s="70" t="str">
        <x:v>2026-07-29—08-04</x:v>
      </x:c>
      <x:c r="I14" s="70" t="str">
        <x:v>Electrek、pv magazine、MIT Technology Review、北极星储能网等当前已恢复，但仍保留历史未结事件。</x:v>
      </x:c>
      <x:c r="J14" s="70" t="str">
        <x:v>周末/无新闻与真实故障可能混在同一待处理队列</x:v>
      </x:c>
      <x:c r="K14" s="83" t="str"/>
      <x:c r="L14" s="83" t="str"/>
      <x:c r="M14" s="82" t="str">
        <x:v>待执行</x:v>
      </x:c>
      <x:c r="N14" s="82" t="str">
        <x:v>未修复</x:v>
      </x:c>
    </x:row>
    <x:row r="15" ht="58" customHeight="1">
      <x:c r="A15" s="82" t="n">
        <x:v>14</x:v>
      </x:c>
      <x:c r="B15" s="82" t="str">
        <x:v>COVER-001</x:v>
      </x:c>
      <x:c r="C15" s="82" t="str">
        <x:v>P2</x:v>
      </x:c>
      <x:c r="D15" s="70" t="str">
        <x:v>已知覆盖缺口，属于配置/接入范围风险</x:v>
      </x:c>
      <x:c r="E15" s="70" t="str">
        <x:v>本周内排查/确认</x:v>
      </x:c>
      <x:c r="F15" s="70" t="str">
        <x:v>覆盖缺口</x:v>
      </x:c>
      <x:c r="G15" s="70" t="str">
        <x:v>13 个已配置跳过渠道</x:v>
      </x:c>
      <x:c r="H15" s="70" t="str">
        <x:v>截至 2026-08-04</x:v>
      </x:c>
      <x:c r="I15" s="70" t="str">
        <x:v>原 skipped 14 个；2026-08-05 Batteries News 恢复为有效采集，剩余13个需继续排查。</x:v>
      </x:c>
      <x:c r="J15" s="70" t="str">
        <x:v>配置表共 57 个渠道，其中13个目前不形成有效采集覆盖</x:v>
      </x:c>
      <x:c r="K15" s="83" t="str"/>
      <x:c r="L15" s="83" t="str"/>
      <x:c r="M15" s="82" t="str">
        <x:v>待执行</x:v>
      </x:c>
      <x:c r="N15" s="82" t="str">
        <x:v>未修复</x:v>
      </x:c>
    </x:row>
    <x:row r="16" ht="58" customHeight="1">
      <x:c r="A16" s="82" t="n">
        <x:v>15</x:v>
      </x:c>
      <x:c r="B16" s="82" t="str">
        <x:v>VOL-001</x:v>
      </x:c>
      <x:c r="C16" s="82" t="str">
        <x:v>P2</x:v>
      </x:c>
      <x:c r="D16" s="70" t="str">
        <x:v>聚合波动需核查，尚不能单独判定为渠道故障</x:v>
      </x:c>
      <x:c r="E16" s="70" t="str">
        <x:v>本周内排查/确认</x:v>
      </x:c>
      <x:c r="F16" s="70" t="str">
        <x:v>总量波动</x:v>
      </x:c>
      <x:c r="G16" s="70" t="str">
        <x:v>全渠道</x:v>
      </x:c>
      <x:c r="H16" s="70" t="str">
        <x:v>2026-07-29—08-04</x:v>
      </x:c>
      <x:c r="I16" s="70" t="str">
        <x:v>7/29 总量 219，为 7 日中位数 2.19 倍；8/2 总量 79，仅为中位数 0.41 倍；7/31 和 8/3 各有 11 个活跃渠道零产出。</x:v>
      </x:c>
      <x:c r="J16" s="70" t="str">
        <x:v>需区分真实新闻量变化、周末效应与采集异常</x:v>
      </x:c>
      <x:c r="K16" s="83" t="str"/>
      <x:c r="L16" s="83" t="str"/>
      <x:c r="M16" s="82" t="str">
        <x:v>待执行</x:v>
      </x:c>
      <x:c r="N16" s="82" t="str">
        <x:v>未修复</x:v>
      </x:c>
    </x:row>
    <x:row r="17" ht="132" customHeight="1">
      <x:c r="A17" s="82" t="n">
        <x:v>16</x:v>
      </x:c>
      <x:c r="B17" s="82" t="str">
        <x:v>ADD-001</x:v>
      </x:c>
      <x:c r="C17" s="82" t="str">
        <x:v>P1</x:v>
      </x:c>
      <x:c r="D17" s="70" t="str">
        <x:v>用户指定新增 Batteries News 首页 Latest 每日抓取</x:v>
      </x:c>
      <x:c r="E17" s="70" t="str">
        <x:v>当天实现并验证</x:v>
      </x:c>
      <x:c r="F17" s="70" t="str">
        <x:v>新增渠道</x:v>
      </x:c>
      <x:c r="G17" s="70" t="str">
        <x:v>Batteries News</x:v>
      </x:c>
      <x:c r="H17" s="70" t="str">
        <x:v>2026-08-04</x:v>
      </x:c>
      <x:c r="I17" s="70" t="str">
        <x:v>用户提供 Latest 截图；实站验证首页 Latest 29个候选，Load More 指向 /page/2/；08-04实抓1篇，正文898字，状态 healthy。</x:v>
      </x:c>
      <x:c r="J17" s="70" t="str">
        <x:v>新增电池行业日更信息覆盖</x:v>
      </x:c>
      <x:c r="K17" s="83" t="str">
        <x:v>此前备注为公司无法访问并被配置跳过，且缺少 Latest 模块边界、Load More 分页和详情正文规则。</x:v>
      </x:c>
      <x:c r="L17" s="83" t="str">
        <x:v>限定标题为 Latest 的 gridlove-module，读取 article.gridlove-post，跟随 Load More /page/N/，按日期截断，详情正文限定 .entry-content。</x:v>
      </x:c>
      <x:c r="M17" s="70" t="str">
        <x:v>已完成</x:v>
      </x:c>
      <x:c r="N17" s="70" t="str">
        <x:v>已修复</x:v>
      </x:c>
    </x:row>
    <x:row r="18" ht="156" customHeight="1">
      <x:c r="A18" s="82" t="n">
        <x:v>17</x:v>
      </x:c>
      <x:c r="B18" s="82" t="str">
        <x:v>FIX-IE-001</x:v>
      </x:c>
      <x:c r="C18" s="82" t="str">
        <x:v>P1</x:v>
      </x:c>
      <x:c r="D18" s="70" t="str">
        <x:v>Interesting Engineering 列表分页、跨时区日期和订阅正文边界修复</x:v>
      </x:c>
      <x:c r="E18" s="70" t="str">
        <x:v>收到页面/F12材料后当日修复</x:v>
      </x:c>
      <x:c r="F18" s="70" t="str">
        <x:v>分页覆盖/正文完整性</x:v>
      </x:c>
      <x:c r="G18" s="70" t="str">
        <x:v>interesting engineering</x:v>
      </x:c>
      <x:c r="H18" s="70" t="str">
        <x:v>2026-08-05—08-06</x:v>
      </x:c>
      <x:c r="I18" s="70" t="str">
        <x:v>用户材料：首页20条并有 /news/page/2 下一页；示例详情仅2段公开正文并出现 paywall-div。实站验证：首页和第2页各20条，官方 /feed 10条且含 content:encoded。旧版长度阈值回测08-05采集20篇、08-06采集13篇；本次发布改按完整性口径：RSS全文记 full，未命中RSS的 .body-content 公开预览明确记 incomplete/degraded，不再把字数达标等同全文。</x:v>
      </x:c>
      <x:c r="J18" s="70" t="str">
        <x:v>每日新闻覆盖完整，公开全文优先且不规避订阅访问控制</x:v>
      </x:c>
      <x:c r="K18" s="83" t="str">
        <x:v>原通用流程主要依赖10条RSS，可能漏掉同日较早文章；列表日期与北京时间存在前一日/当日边界；详情公开DOM可能只有订阅前预览。</x:v>
      </x:c>
      <x:c r="L18" s="83" t="str">
        <x:v>定制组合新闻归档分页与官方公开RSS：RSS全文优先；未命中RSS时只读取 .body-content 公开预览；RSS时间换算北京时间，列表前一日/当日仅作候选窗口；按目标日复核并去重。</x:v>
      </x:c>
      <x:c r="M18" s="70" t="str">
        <x:v>已完成</x:v>
      </x:c>
      <x:c r="N18" s="70" t="str">
        <x:v>已修复</x:v>
      </x:c>
    </x:row>
    <x:row r="19">
      <x:c r="A19" s="82"/>
      <x:c r="B19" s="82"/>
      <x:c r="C19" s="82"/>
      <x:c r="D19" s="70"/>
      <x:c r="E19" s="70"/>
      <x:c r="F19" s="70"/>
      <x:c r="G19" s="70"/>
      <x:c r="H19" s="70"/>
      <x:c r="I19" s="70"/>
      <x:c r="J19" s="70"/>
      <x:c r="K19" s="83"/>
      <x:c r="L19" s="83"/>
      <x:c r="M19" s="82"/>
      <x:c r="N19" s="82"/>
    </x:row>
    <x:row r="20">
      <x:c r="A20" s="82"/>
      <x:c r="B20" s="82"/>
      <x:c r="C20" s="82"/>
      <x:c r="D20" s="70"/>
      <x:c r="E20" s="70"/>
      <x:c r="F20" s="70"/>
      <x:c r="G20" s="70"/>
      <x:c r="H20" s="70"/>
      <x:c r="I20" s="70"/>
      <x:c r="J20" s="70"/>
      <x:c r="K20" s="83"/>
      <x:c r="L20" s="83"/>
      <x:c r="M20" s="82"/>
      <x:c r="N20" s="82"/>
    </x:row>
    <x:row r="21">
      <x:c r="A21" s="82"/>
      <x:c r="B21" s="82"/>
      <x:c r="C21" s="82"/>
      <x:c r="D21" s="70"/>
      <x:c r="E21" s="70"/>
      <x:c r="F21" s="70"/>
      <x:c r="G21" s="70"/>
      <x:c r="H21" s="70"/>
      <x:c r="I21" s="70"/>
      <x:c r="J21" s="70"/>
      <x:c r="K21" s="83"/>
      <x:c r="L21" s="83"/>
      <x:c r="M21" s="82"/>
      <x:c r="N21" s="82"/>
    </x:row>
    <x:row r="22">
      <x:c r="A22" s="82"/>
      <x:c r="B22" s="82"/>
      <x:c r="C22" s="82"/>
      <x:c r="D22" s="70"/>
      <x:c r="E22" s="70"/>
      <x:c r="F22" s="70"/>
      <x:c r="G22" s="70"/>
      <x:c r="H22" s="70"/>
      <x:c r="I22" s="70"/>
      <x:c r="J22" s="70"/>
      <x:c r="K22" s="83"/>
      <x:c r="L22" s="83"/>
      <x:c r="M22" s="82"/>
      <x:c r="N22" s="82"/>
    </x:row>
    <x:row r="23">
      <x:c r="A23" s="82"/>
      <x:c r="B23" s="82"/>
      <x:c r="C23" s="82"/>
      <x:c r="D23" s="70"/>
      <x:c r="E23" s="70"/>
      <x:c r="F23" s="70"/>
      <x:c r="G23" s="70"/>
      <x:c r="H23" s="70"/>
      <x:c r="I23" s="70"/>
      <x:c r="J23" s="70"/>
      <x:c r="K23" s="83"/>
      <x:c r="L23" s="83"/>
      <x:c r="M23" s="82"/>
      <x:c r="N23" s="82"/>
    </x:row>
    <x:row r="24">
      <x:c r="A24" s="82"/>
      <x:c r="B24" s="82"/>
      <x:c r="C24" s="82"/>
      <x:c r="D24" s="70"/>
      <x:c r="E24" s="70"/>
      <x:c r="F24" s="70"/>
      <x:c r="G24" s="70"/>
      <x:c r="H24" s="70"/>
      <x:c r="I24" s="70"/>
      <x:c r="J24" s="70"/>
      <x:c r="K24" s="83"/>
      <x:c r="L24" s="83"/>
      <x:c r="M24" s="82"/>
      <x:c r="N24" s="82"/>
    </x:row>
    <x:row r="25">
      <x:c r="A25" s="82"/>
      <x:c r="B25" s="82"/>
      <x:c r="C25" s="82"/>
      <x:c r="D25" s="70"/>
      <x:c r="E25" s="70"/>
      <x:c r="F25" s="70"/>
      <x:c r="G25" s="70"/>
      <x:c r="H25" s="70"/>
      <x:c r="I25" s="70"/>
      <x:c r="J25" s="70"/>
      <x:c r="K25" s="83"/>
      <x:c r="L25" s="83"/>
      <x:c r="M25" s="82"/>
      <x:c r="N25" s="82"/>
    </x:row>
    <x:row r="26">
      <x:c r="A26" s="82"/>
      <x:c r="B26" s="82"/>
      <x:c r="C26" s="82"/>
      <x:c r="D26" s="70"/>
      <x:c r="E26" s="70"/>
      <x:c r="F26" s="70"/>
      <x:c r="G26" s="70"/>
      <x:c r="H26" s="70"/>
      <x:c r="I26" s="70"/>
      <x:c r="J26" s="70"/>
      <x:c r="K26" s="83"/>
      <x:c r="L26" s="83"/>
      <x:c r="M26" s="82"/>
      <x:c r="N26" s="82"/>
    </x:row>
    <x:row r="27">
      <x:c r="A27" s="82"/>
      <x:c r="B27" s="82"/>
      <x:c r="C27" s="82"/>
      <x:c r="D27" s="70"/>
      <x:c r="E27" s="70"/>
      <x:c r="F27" s="70"/>
      <x:c r="G27" s="70"/>
      <x:c r="H27" s="70"/>
      <x:c r="I27" s="70"/>
      <x:c r="J27" s="70"/>
      <x:c r="K27" s="83"/>
      <x:c r="L27" s="83"/>
      <x:c r="M27" s="82"/>
      <x:c r="N27" s="82"/>
    </x:row>
    <x:row r="28">
      <x:c r="A28" s="82"/>
      <x:c r="B28" s="82"/>
      <x:c r="C28" s="82"/>
      <x:c r="D28" s="70"/>
      <x:c r="E28" s="70"/>
      <x:c r="F28" s="70"/>
      <x:c r="G28" s="70"/>
      <x:c r="H28" s="70"/>
      <x:c r="I28" s="70"/>
      <x:c r="J28" s="70"/>
      <x:c r="K28" s="83"/>
      <x:c r="L28" s="83"/>
      <x:c r="M28" s="82"/>
      <x:c r="N28" s="82"/>
    </x:row>
    <x:row r="29">
      <x:c r="A29" s="82"/>
      <x:c r="B29" s="82"/>
      <x:c r="C29" s="82"/>
      <x:c r="D29" s="70"/>
      <x:c r="E29" s="70"/>
      <x:c r="F29" s="70"/>
      <x:c r="G29" s="70"/>
      <x:c r="H29" s="70"/>
      <x:c r="I29" s="70"/>
      <x:c r="J29" s="70"/>
      <x:c r="K29" s="83"/>
      <x:c r="L29" s="83"/>
      <x:c r="M29" s="82"/>
      <x:c r="N29" s="82"/>
    </x:row>
    <x:row r="30">
      <x:c r="A30" s="82"/>
      <x:c r="B30" s="82"/>
      <x:c r="C30" s="82"/>
      <x:c r="D30" s="70"/>
      <x:c r="E30" s="70"/>
      <x:c r="F30" s="70"/>
      <x:c r="G30" s="70"/>
      <x:c r="H30" s="70"/>
      <x:c r="I30" s="70"/>
      <x:c r="J30" s="70"/>
      <x:c r="K30" s="83"/>
      <x:c r="L30" s="83"/>
      <x:c r="M30" s="82"/>
      <x:c r="N30" s="82"/>
    </x:row>
    <x:row r="31">
      <x:c r="A31" s="82"/>
      <x:c r="B31" s="82"/>
      <x:c r="C31" s="82"/>
      <x:c r="D31" s="70"/>
      <x:c r="E31" s="70"/>
      <x:c r="F31" s="70"/>
      <x:c r="G31" s="70"/>
      <x:c r="H31" s="70"/>
      <x:c r="I31" s="70"/>
      <x:c r="J31" s="70"/>
      <x:c r="K31" s="83"/>
      <x:c r="L31" s="83"/>
      <x:c r="M31" s="82"/>
      <x:c r="N31" s="82"/>
    </x:row>
    <x:row r="32">
      <x:c r="A32" s="82"/>
      <x:c r="B32" s="82"/>
      <x:c r="C32" s="82"/>
      <x:c r="D32" s="70"/>
      <x:c r="E32" s="70"/>
      <x:c r="F32" s="70"/>
      <x:c r="G32" s="70"/>
      <x:c r="H32" s="70"/>
      <x:c r="I32" s="70"/>
      <x:c r="J32" s="70"/>
      <x:c r="K32" s="83"/>
      <x:c r="L32" s="83"/>
      <x:c r="M32" s="82"/>
      <x:c r="N32" s="82"/>
    </x:row>
    <x:row r="33">
      <x:c r="A33" s="82"/>
      <x:c r="B33" s="82"/>
      <x:c r="C33" s="82"/>
      <x:c r="D33" s="70"/>
      <x:c r="E33" s="70"/>
      <x:c r="F33" s="70"/>
      <x:c r="G33" s="70"/>
      <x:c r="H33" s="70"/>
      <x:c r="I33" s="70"/>
      <x:c r="J33" s="70"/>
      <x:c r="K33" s="83"/>
      <x:c r="L33" s="83"/>
      <x:c r="M33" s="82"/>
      <x:c r="N33" s="82"/>
    </x:row>
    <x:row r="34">
      <x:c r="A34" s="82"/>
      <x:c r="B34" s="82"/>
      <x:c r="C34" s="82"/>
      <x:c r="D34" s="70"/>
      <x:c r="E34" s="70"/>
      <x:c r="F34" s="70"/>
      <x:c r="G34" s="70"/>
      <x:c r="H34" s="70"/>
      <x:c r="I34" s="70"/>
      <x:c r="J34" s="70"/>
      <x:c r="K34" s="83"/>
      <x:c r="L34" s="83"/>
      <x:c r="M34" s="82"/>
      <x:c r="N34" s="82"/>
    </x:row>
    <x:row r="35">
      <x:c r="A35" s="82"/>
      <x:c r="B35" s="82"/>
      <x:c r="C35" s="82"/>
      <x:c r="D35" s="70"/>
      <x:c r="E35" s="70"/>
      <x:c r="F35" s="70"/>
      <x:c r="G35" s="70"/>
      <x:c r="H35" s="70"/>
      <x:c r="I35" s="70"/>
      <x:c r="J35" s="70"/>
      <x:c r="K35" s="83"/>
      <x:c r="L35" s="83"/>
      <x:c r="M35" s="82"/>
      <x:c r="N35" s="82"/>
    </x:row>
    <x:row r="36">
      <x:c r="A36" s="82"/>
      <x:c r="B36" s="82"/>
      <x:c r="C36" s="82"/>
      <x:c r="D36" s="70"/>
      <x:c r="E36" s="70"/>
      <x:c r="F36" s="70"/>
      <x:c r="G36" s="70"/>
      <x:c r="H36" s="70"/>
      <x:c r="I36" s="70"/>
      <x:c r="J36" s="70"/>
      <x:c r="K36" s="83"/>
      <x:c r="L36" s="83"/>
      <x:c r="M36" s="82"/>
      <x:c r="N36" s="82"/>
    </x:row>
    <x:row r="37">
      <x:c r="A37" s="82"/>
      <x:c r="B37" s="82"/>
      <x:c r="C37" s="82"/>
      <x:c r="D37" s="70"/>
      <x:c r="E37" s="70"/>
      <x:c r="F37" s="70"/>
      <x:c r="G37" s="70"/>
      <x:c r="H37" s="70"/>
      <x:c r="I37" s="70"/>
      <x:c r="J37" s="70"/>
      <x:c r="K37" s="83"/>
      <x:c r="L37" s="83"/>
      <x:c r="M37" s="82"/>
      <x:c r="N37" s="82"/>
    </x:row>
    <x:row r="38">
      <x:c r="A38" s="82"/>
      <x:c r="B38" s="82"/>
      <x:c r="C38" s="82"/>
      <x:c r="D38" s="70"/>
      <x:c r="E38" s="70"/>
      <x:c r="F38" s="70"/>
      <x:c r="G38" s="70"/>
      <x:c r="H38" s="70"/>
      <x:c r="I38" s="70"/>
      <x:c r="J38" s="70"/>
      <x:c r="K38" s="83"/>
      <x:c r="L38" s="83"/>
      <x:c r="M38" s="82"/>
      <x:c r="N38" s="82"/>
    </x:row>
    <x:row r="39">
      <x:c r="A39" s="82"/>
      <x:c r="B39" s="82"/>
      <x:c r="C39" s="82"/>
      <x:c r="D39" s="70"/>
      <x:c r="E39" s="70"/>
      <x:c r="F39" s="70"/>
      <x:c r="G39" s="70"/>
      <x:c r="H39" s="70"/>
      <x:c r="I39" s="70"/>
      <x:c r="J39" s="70"/>
      <x:c r="K39" s="83"/>
      <x:c r="L39" s="83"/>
      <x:c r="M39" s="82"/>
      <x:c r="N39" s="82"/>
    </x:row>
    <x:row r="40">
      <x:c r="A40" s="82"/>
      <x:c r="B40" s="82"/>
      <x:c r="C40" s="82"/>
      <x:c r="D40" s="70"/>
      <x:c r="E40" s="70"/>
      <x:c r="F40" s="70"/>
      <x:c r="G40" s="70"/>
      <x:c r="H40" s="70"/>
      <x:c r="I40" s="70"/>
      <x:c r="J40" s="70"/>
      <x:c r="K40" s="83"/>
      <x:c r="L40" s="83"/>
      <x:c r="M40" s="82"/>
      <x:c r="N40" s="82"/>
    </x:row>
    <x:row r="41">
      <x:c r="A41" s="82"/>
      <x:c r="B41" s="82"/>
      <x:c r="C41" s="82"/>
      <x:c r="D41" s="70"/>
      <x:c r="E41" s="70"/>
      <x:c r="F41" s="70"/>
      <x:c r="G41" s="70"/>
      <x:c r="H41" s="70"/>
      <x:c r="I41" s="70"/>
      <x:c r="J41" s="70"/>
      <x:c r="K41" s="83"/>
      <x:c r="L41" s="83"/>
      <x:c r="M41" s="82"/>
      <x:c r="N41" s="82"/>
    </x:row>
    <x:row r="42">
      <x:c r="A42" s="82"/>
      <x:c r="B42" s="82"/>
      <x:c r="C42" s="82"/>
      <x:c r="D42" s="70"/>
      <x:c r="E42" s="70"/>
      <x:c r="F42" s="70"/>
      <x:c r="G42" s="70"/>
      <x:c r="H42" s="70"/>
      <x:c r="I42" s="70"/>
      <x:c r="J42" s="70"/>
      <x:c r="K42" s="83"/>
      <x:c r="L42" s="83"/>
      <x:c r="M42" s="82"/>
      <x:c r="N42" s="82"/>
    </x:row>
    <x:row r="43">
      <x:c r="A43" s="82"/>
      <x:c r="B43" s="82"/>
      <x:c r="C43" s="82"/>
      <x:c r="D43" s="70"/>
      <x:c r="E43" s="70"/>
      <x:c r="F43" s="70"/>
      <x:c r="G43" s="70"/>
      <x:c r="H43" s="70"/>
      <x:c r="I43" s="70"/>
      <x:c r="J43" s="70"/>
      <x:c r="K43" s="83"/>
      <x:c r="L43" s="83"/>
      <x:c r="M43" s="82"/>
      <x:c r="N43" s="82"/>
    </x:row>
    <x:row r="44">
      <x:c r="A44" s="82"/>
      <x:c r="B44" s="82"/>
      <x:c r="C44" s="82"/>
      <x:c r="D44" s="70"/>
      <x:c r="E44" s="70"/>
      <x:c r="F44" s="70"/>
      <x:c r="G44" s="70"/>
      <x:c r="H44" s="70"/>
      <x:c r="I44" s="70"/>
      <x:c r="J44" s="70"/>
      <x:c r="K44" s="83"/>
      <x:c r="L44" s="83"/>
      <x:c r="M44" s="82"/>
      <x:c r="N44" s="82"/>
    </x:row>
    <x:row r="45">
      <x:c r="A45" s="82"/>
      <x:c r="B45" s="82"/>
      <x:c r="C45" s="82"/>
      <x:c r="D45" s="70"/>
      <x:c r="E45" s="70"/>
      <x:c r="F45" s="70"/>
      <x:c r="G45" s="70"/>
      <x:c r="H45" s="70"/>
      <x:c r="I45" s="70"/>
      <x:c r="J45" s="70"/>
      <x:c r="K45" s="83"/>
      <x:c r="L45" s="83"/>
      <x:c r="M45" s="82"/>
      <x:c r="N45" s="82"/>
    </x:row>
    <x:row r="46">
      <x:c r="A46" s="82"/>
      <x:c r="B46" s="82"/>
      <x:c r="C46" s="82"/>
      <x:c r="D46" s="70"/>
      <x:c r="E46" s="70"/>
      <x:c r="F46" s="70"/>
      <x:c r="G46" s="70"/>
      <x:c r="H46" s="70"/>
      <x:c r="I46" s="70"/>
      <x:c r="J46" s="70"/>
      <x:c r="K46" s="83"/>
      <x:c r="L46" s="83"/>
      <x:c r="M46" s="82"/>
      <x:c r="N46" s="82"/>
    </x:row>
    <x:row r="47">
      <x:c r="A47" s="82"/>
      <x:c r="B47" s="82"/>
      <x:c r="C47" s="82"/>
      <x:c r="D47" s="70"/>
      <x:c r="E47" s="70"/>
      <x:c r="F47" s="70"/>
      <x:c r="G47" s="70"/>
      <x:c r="H47" s="70"/>
      <x:c r="I47" s="70"/>
      <x:c r="J47" s="70"/>
      <x:c r="K47" s="83"/>
      <x:c r="L47" s="83"/>
      <x:c r="M47" s="82"/>
      <x:c r="N47" s="82"/>
    </x:row>
    <x:row r="48">
      <x:c r="A48" s="82"/>
      <x:c r="B48" s="82"/>
      <x:c r="C48" s="82"/>
      <x:c r="D48" s="70"/>
      <x:c r="E48" s="70"/>
      <x:c r="F48" s="70"/>
      <x:c r="G48" s="70"/>
      <x:c r="H48" s="70"/>
      <x:c r="I48" s="70"/>
      <x:c r="J48" s="70"/>
      <x:c r="K48" s="83"/>
      <x:c r="L48" s="83"/>
      <x:c r="M48" s="82"/>
      <x:c r="N48" s="82"/>
    </x:row>
    <x:row r="49">
      <x:c r="A49" s="82"/>
      <x:c r="B49" s="82"/>
      <x:c r="C49" s="82"/>
      <x:c r="D49" s="70"/>
      <x:c r="E49" s="70"/>
      <x:c r="F49" s="70"/>
      <x:c r="G49" s="70"/>
      <x:c r="H49" s="70"/>
      <x:c r="I49" s="70"/>
      <x:c r="J49" s="70"/>
      <x:c r="K49" s="83"/>
      <x:c r="L49" s="83"/>
      <x:c r="M49" s="82"/>
      <x:c r="N49" s="82"/>
    </x:row>
    <x:row r="50">
      <x:c r="A50" s="82"/>
      <x:c r="B50" s="82"/>
      <x:c r="C50" s="82"/>
      <x:c r="D50" s="70"/>
      <x:c r="E50" s="70"/>
      <x:c r="F50" s="70"/>
      <x:c r="G50" s="70"/>
      <x:c r="H50" s="70"/>
      <x:c r="I50" s="70"/>
      <x:c r="J50" s="70"/>
      <x:c r="K50" s="83"/>
      <x:c r="L50" s="83"/>
      <x:c r="M50" s="82"/>
      <x:c r="N50" s="82"/>
    </x:row>
    <x:row r="51">
      <x:c r="A51" s="82"/>
      <x:c r="B51" s="82"/>
      <x:c r="C51" s="82"/>
      <x:c r="D51" s="70"/>
      <x:c r="E51" s="70"/>
      <x:c r="F51" s="70"/>
      <x:c r="G51" s="70"/>
      <x:c r="H51" s="70"/>
      <x:c r="I51" s="70"/>
      <x:c r="J51" s="70"/>
      <x:c r="K51" s="83"/>
      <x:c r="L51" s="83"/>
      <x:c r="M51" s="82"/>
      <x:c r="N51" s="82"/>
    </x:row>
    <x:row r="52">
      <x:c r="A52" s="82"/>
      <x:c r="B52" s="82"/>
      <x:c r="C52" s="82"/>
      <x:c r="D52" s="70"/>
      <x:c r="E52" s="70"/>
      <x:c r="F52" s="70"/>
      <x:c r="G52" s="70"/>
      <x:c r="H52" s="70"/>
      <x:c r="I52" s="70"/>
      <x:c r="J52" s="70"/>
      <x:c r="K52" s="83"/>
      <x:c r="L52" s="83"/>
      <x:c r="M52" s="82"/>
      <x:c r="N52" s="82"/>
    </x:row>
    <x:row r="53">
      <x:c r="A53" s="82"/>
      <x:c r="B53" s="82"/>
      <x:c r="C53" s="82"/>
      <x:c r="D53" s="70"/>
      <x:c r="E53" s="70"/>
      <x:c r="F53" s="70"/>
      <x:c r="G53" s="70"/>
      <x:c r="H53" s="70"/>
      <x:c r="I53" s="70"/>
      <x:c r="J53" s="70"/>
      <x:c r="K53" s="83"/>
      <x:c r="L53" s="83"/>
      <x:c r="M53" s="82"/>
      <x:c r="N53" s="82"/>
    </x:row>
    <x:row r="54">
      <x:c r="A54" s="82"/>
      <x:c r="B54" s="82"/>
      <x:c r="C54" s="82"/>
      <x:c r="D54" s="70"/>
      <x:c r="E54" s="70"/>
      <x:c r="F54" s="70"/>
      <x:c r="G54" s="70"/>
      <x:c r="H54" s="70"/>
      <x:c r="I54" s="70"/>
      <x:c r="J54" s="70"/>
      <x:c r="K54" s="83"/>
      <x:c r="L54" s="83"/>
      <x:c r="M54" s="82"/>
      <x:c r="N54" s="82"/>
    </x:row>
    <x:row r="55">
      <x:c r="A55" s="82"/>
      <x:c r="B55" s="82"/>
      <x:c r="C55" s="82"/>
      <x:c r="D55" s="70"/>
      <x:c r="E55" s="70"/>
      <x:c r="F55" s="70"/>
      <x:c r="G55" s="70"/>
      <x:c r="H55" s="70"/>
      <x:c r="I55" s="70"/>
      <x:c r="J55" s="70"/>
      <x:c r="K55" s="83"/>
      <x:c r="L55" s="83"/>
      <x:c r="M55" s="82"/>
      <x:c r="N55" s="82"/>
    </x:row>
    <x:row r="56">
      <x:c r="A56" s="82"/>
      <x:c r="B56" s="82"/>
      <x:c r="C56" s="82"/>
      <x:c r="D56" s="70"/>
      <x:c r="E56" s="70"/>
      <x:c r="F56" s="70"/>
      <x:c r="G56" s="70"/>
      <x:c r="H56" s="70"/>
      <x:c r="I56" s="70"/>
      <x:c r="J56" s="70"/>
      <x:c r="K56" s="83"/>
      <x:c r="L56" s="83"/>
      <x:c r="M56" s="82"/>
      <x:c r="N56" s="82"/>
    </x:row>
    <x:row r="57">
      <x:c r="A57" s="82"/>
      <x:c r="B57" s="82"/>
      <x:c r="C57" s="82"/>
      <x:c r="D57" s="70"/>
      <x:c r="E57" s="70"/>
      <x:c r="F57" s="70"/>
      <x:c r="G57" s="70"/>
      <x:c r="H57" s="70"/>
      <x:c r="I57" s="70"/>
      <x:c r="J57" s="70"/>
      <x:c r="K57" s="83"/>
      <x:c r="L57" s="83"/>
      <x:c r="M57" s="82"/>
      <x:c r="N57" s="82"/>
    </x:row>
    <x:row r="58">
      <x:c r="A58" s="82"/>
      <x:c r="B58" s="82"/>
      <x:c r="C58" s="82"/>
      <x:c r="D58" s="70"/>
      <x:c r="E58" s="70"/>
      <x:c r="F58" s="70"/>
      <x:c r="G58" s="70"/>
      <x:c r="H58" s="70"/>
      <x:c r="I58" s="70"/>
      <x:c r="J58" s="70"/>
      <x:c r="K58" s="83"/>
      <x:c r="L58" s="83"/>
      <x:c r="M58" s="82"/>
      <x:c r="N58" s="82"/>
    </x:row>
    <x:row r="59">
      <x:c r="A59" s="82"/>
      <x:c r="B59" s="82"/>
      <x:c r="C59" s="82"/>
      <x:c r="D59" s="70"/>
      <x:c r="E59" s="70"/>
      <x:c r="F59" s="70"/>
      <x:c r="G59" s="70"/>
      <x:c r="H59" s="70"/>
      <x:c r="I59" s="70"/>
      <x:c r="J59" s="70"/>
      <x:c r="K59" s="83"/>
      <x:c r="L59" s="83"/>
      <x:c r="M59" s="82"/>
      <x:c r="N59" s="82"/>
    </x:row>
    <x:row r="60">
      <x:c r="A60" s="82"/>
      <x:c r="B60" s="82"/>
      <x:c r="C60" s="82"/>
      <x:c r="D60" s="70"/>
      <x:c r="E60" s="70"/>
      <x:c r="F60" s="70"/>
      <x:c r="G60" s="70"/>
      <x:c r="H60" s="70"/>
      <x:c r="I60" s="70"/>
      <x:c r="J60" s="70"/>
      <x:c r="K60" s="83"/>
      <x:c r="L60" s="83"/>
      <x:c r="M60" s="82"/>
      <x:c r="N60" s="82"/>
    </x:row>
    <x:row r="61">
      <x:c r="A61" s="82"/>
      <x:c r="B61" s="82"/>
      <x:c r="C61" s="82"/>
      <x:c r="D61" s="70"/>
      <x:c r="E61" s="70"/>
      <x:c r="F61" s="70"/>
      <x:c r="G61" s="70"/>
      <x:c r="H61" s="70"/>
      <x:c r="I61" s="70"/>
      <x:c r="J61" s="70"/>
      <x:c r="K61" s="83"/>
      <x:c r="L61" s="83"/>
      <x:c r="M61" s="82"/>
      <x:c r="N61" s="82"/>
    </x:row>
    <x:row r="62">
      <x:c r="A62" s="82"/>
      <x:c r="B62" s="82"/>
      <x:c r="C62" s="82"/>
      <x:c r="D62" s="70"/>
      <x:c r="E62" s="70"/>
      <x:c r="F62" s="70"/>
      <x:c r="G62" s="70"/>
      <x:c r="H62" s="70"/>
      <x:c r="I62" s="70"/>
      <x:c r="J62" s="70"/>
      <x:c r="K62" s="83"/>
      <x:c r="L62" s="83"/>
      <x:c r="M62" s="82"/>
      <x:c r="N62" s="82"/>
    </x:row>
    <x:row r="63">
      <x:c r="A63" s="82"/>
      <x:c r="B63" s="82"/>
      <x:c r="C63" s="82"/>
      <x:c r="D63" s="70"/>
      <x:c r="E63" s="70"/>
      <x:c r="F63" s="70"/>
      <x:c r="G63" s="70"/>
      <x:c r="H63" s="70"/>
      <x:c r="I63" s="70"/>
      <x:c r="J63" s="70"/>
      <x:c r="K63" s="83"/>
      <x:c r="L63" s="83"/>
      <x:c r="M63" s="82"/>
      <x:c r="N63" s="82"/>
    </x:row>
    <x:row r="64">
      <x:c r="A64" s="82"/>
      <x:c r="B64" s="82"/>
      <x:c r="C64" s="82"/>
      <x:c r="D64" s="70"/>
      <x:c r="E64" s="70"/>
      <x:c r="F64" s="70"/>
      <x:c r="G64" s="70"/>
      <x:c r="H64" s="70"/>
      <x:c r="I64" s="70"/>
      <x:c r="J64" s="70"/>
      <x:c r="K64" s="83"/>
      <x:c r="L64" s="83"/>
      <x:c r="M64" s="82"/>
      <x:c r="N64" s="82"/>
    </x:row>
    <x:row r="65">
      <x:c r="A65" s="82"/>
      <x:c r="B65" s="82"/>
      <x:c r="C65" s="82"/>
      <x:c r="D65" s="70"/>
      <x:c r="E65" s="70"/>
      <x:c r="F65" s="70"/>
      <x:c r="G65" s="70"/>
      <x:c r="H65" s="70"/>
      <x:c r="I65" s="70"/>
      <x:c r="J65" s="70"/>
      <x:c r="K65" s="83"/>
      <x:c r="L65" s="83"/>
      <x:c r="M65" s="82"/>
      <x:c r="N65" s="82"/>
    </x:row>
    <x:row r="66">
      <x:c r="A66" s="82"/>
      <x:c r="B66" s="82"/>
      <x:c r="C66" s="82"/>
      <x:c r="D66" s="70"/>
      <x:c r="E66" s="70"/>
      <x:c r="F66" s="70"/>
      <x:c r="G66" s="70"/>
      <x:c r="H66" s="70"/>
      <x:c r="I66" s="70"/>
      <x:c r="J66" s="70"/>
      <x:c r="K66" s="83"/>
      <x:c r="L66" s="83"/>
      <x:c r="M66" s="82"/>
      <x:c r="N66" s="82"/>
    </x:row>
    <x:row r="67">
      <x:c r="A67" s="82"/>
      <x:c r="B67" s="82"/>
      <x:c r="C67" s="82"/>
      <x:c r="D67" s="70"/>
      <x:c r="E67" s="70"/>
      <x:c r="F67" s="70"/>
      <x:c r="G67" s="70"/>
      <x:c r="H67" s="70"/>
      <x:c r="I67" s="70"/>
      <x:c r="J67" s="70"/>
      <x:c r="K67" s="83"/>
      <x:c r="L67" s="83"/>
      <x:c r="M67" s="82"/>
      <x:c r="N67" s="82"/>
    </x:row>
    <x:row r="68">
      <x:c r="A68" s="82"/>
      <x:c r="B68" s="82"/>
      <x:c r="C68" s="82"/>
      <x:c r="D68" s="70"/>
      <x:c r="E68" s="70"/>
      <x:c r="F68" s="70"/>
      <x:c r="G68" s="70"/>
      <x:c r="H68" s="70"/>
      <x:c r="I68" s="70"/>
      <x:c r="J68" s="70"/>
      <x:c r="K68" s="83"/>
      <x:c r="L68" s="83"/>
      <x:c r="M68" s="82"/>
      <x:c r="N68" s="82"/>
    </x:row>
    <x:row r="69">
      <x:c r="A69" s="82"/>
      <x:c r="B69" s="82"/>
      <x:c r="C69" s="82"/>
      <x:c r="D69" s="70"/>
      <x:c r="E69" s="70"/>
      <x:c r="F69" s="70"/>
      <x:c r="G69" s="70"/>
      <x:c r="H69" s="70"/>
      <x:c r="I69" s="70"/>
      <x:c r="J69" s="70"/>
      <x:c r="K69" s="83"/>
      <x:c r="L69" s="83"/>
      <x:c r="M69" s="82"/>
      <x:c r="N69" s="82"/>
    </x:row>
    <x:row r="70">
      <x:c r="A70" s="82"/>
      <x:c r="B70" s="82"/>
      <x:c r="C70" s="82"/>
      <x:c r="D70" s="70"/>
      <x:c r="E70" s="70"/>
      <x:c r="F70" s="70"/>
      <x:c r="G70" s="70"/>
      <x:c r="H70" s="70"/>
      <x:c r="I70" s="70"/>
      <x:c r="J70" s="70"/>
      <x:c r="K70" s="83"/>
      <x:c r="L70" s="83"/>
      <x:c r="M70" s="82"/>
      <x:c r="N70" s="82"/>
    </x:row>
    <x:row r="71">
      <x:c r="A71" s="82"/>
      <x:c r="B71" s="82"/>
      <x:c r="C71" s="82"/>
      <x:c r="D71" s="70"/>
      <x:c r="E71" s="70"/>
      <x:c r="F71" s="70"/>
      <x:c r="G71" s="70"/>
      <x:c r="H71" s="70"/>
      <x:c r="I71" s="70"/>
      <x:c r="J71" s="70"/>
      <x:c r="K71" s="83"/>
      <x:c r="L71" s="83"/>
      <x:c r="M71" s="82"/>
      <x:c r="N71" s="82"/>
    </x:row>
    <x:row r="72">
      <x:c r="A72" s="82"/>
      <x:c r="B72" s="82"/>
      <x:c r="C72" s="82"/>
      <x:c r="D72" s="70"/>
      <x:c r="E72" s="70"/>
      <x:c r="F72" s="70"/>
      <x:c r="G72" s="70"/>
      <x:c r="H72" s="70"/>
      <x:c r="I72" s="70"/>
      <x:c r="J72" s="70"/>
      <x:c r="K72" s="83"/>
      <x:c r="L72" s="83"/>
      <x:c r="M72" s="82"/>
      <x:c r="N72" s="82"/>
    </x:row>
    <x:row r="73">
      <x:c r="A73" s="82"/>
      <x:c r="B73" s="82"/>
      <x:c r="C73" s="82"/>
      <x:c r="D73" s="70"/>
      <x:c r="E73" s="70"/>
      <x:c r="F73" s="70"/>
      <x:c r="G73" s="70"/>
      <x:c r="H73" s="70"/>
      <x:c r="I73" s="70"/>
      <x:c r="J73" s="70"/>
      <x:c r="K73" s="83"/>
      <x:c r="L73" s="83"/>
      <x:c r="M73" s="82"/>
      <x:c r="N73" s="82"/>
    </x:row>
    <x:row r="74">
      <x:c r="A74" s="82"/>
      <x:c r="B74" s="82"/>
      <x:c r="C74" s="82"/>
      <x:c r="D74" s="70"/>
      <x:c r="E74" s="70"/>
      <x:c r="F74" s="70"/>
      <x:c r="G74" s="70"/>
      <x:c r="H74" s="70"/>
      <x:c r="I74" s="70"/>
      <x:c r="J74" s="70"/>
      <x:c r="K74" s="83"/>
      <x:c r="L74" s="83"/>
      <x:c r="M74" s="82"/>
      <x:c r="N74" s="82"/>
    </x:row>
    <x:row r="75">
      <x:c r="A75" s="82"/>
      <x:c r="B75" s="82"/>
      <x:c r="C75" s="82"/>
      <x:c r="D75" s="70"/>
      <x:c r="E75" s="70"/>
      <x:c r="F75" s="70"/>
      <x:c r="G75" s="70"/>
      <x:c r="H75" s="70"/>
      <x:c r="I75" s="70"/>
      <x:c r="J75" s="70"/>
      <x:c r="K75" s="83"/>
      <x:c r="L75" s="83"/>
      <x:c r="M75" s="82"/>
      <x:c r="N75" s="82"/>
    </x:row>
    <x:row r="76">
      <x:c r="A76" s="82"/>
      <x:c r="B76" s="82"/>
      <x:c r="C76" s="82"/>
      <x:c r="D76" s="70"/>
      <x:c r="E76" s="70"/>
      <x:c r="F76" s="70"/>
      <x:c r="G76" s="70"/>
      <x:c r="H76" s="70"/>
      <x:c r="I76" s="70"/>
      <x:c r="J76" s="70"/>
      <x:c r="K76" s="83"/>
      <x:c r="L76" s="83"/>
      <x:c r="M76" s="82"/>
      <x:c r="N76" s="82"/>
    </x:row>
    <x:row r="77">
      <x:c r="A77" s="82"/>
      <x:c r="B77" s="82"/>
      <x:c r="C77" s="82"/>
      <x:c r="D77" s="70"/>
      <x:c r="E77" s="70"/>
      <x:c r="F77" s="70"/>
      <x:c r="G77" s="70"/>
      <x:c r="H77" s="70"/>
      <x:c r="I77" s="70"/>
      <x:c r="J77" s="70"/>
      <x:c r="K77" s="83"/>
      <x:c r="L77" s="83"/>
      <x:c r="M77" s="82"/>
      <x:c r="N77" s="82"/>
    </x:row>
    <x:row r="78">
      <x:c r="A78" s="82"/>
      <x:c r="B78" s="82"/>
      <x:c r="C78" s="82"/>
      <x:c r="D78" s="70"/>
      <x:c r="E78" s="70"/>
      <x:c r="F78" s="70"/>
      <x:c r="G78" s="70"/>
      <x:c r="H78" s="70"/>
      <x:c r="I78" s="70"/>
      <x:c r="J78" s="70"/>
      <x:c r="K78" s="83"/>
      <x:c r="L78" s="83"/>
      <x:c r="M78" s="82"/>
      <x:c r="N78" s="82"/>
    </x:row>
    <x:row r="79">
      <x:c r="A79" s="82"/>
      <x:c r="B79" s="82"/>
      <x:c r="C79" s="82"/>
      <x:c r="D79" s="70"/>
      <x:c r="E79" s="70"/>
      <x:c r="F79" s="70"/>
      <x:c r="G79" s="70"/>
      <x:c r="H79" s="70"/>
      <x:c r="I79" s="70"/>
      <x:c r="J79" s="70"/>
      <x:c r="K79" s="83"/>
      <x:c r="L79" s="83"/>
      <x:c r="M79" s="82"/>
      <x:c r="N79" s="82"/>
    </x:row>
    <x:row r="80">
      <x:c r="A80" s="82"/>
      <x:c r="B80" s="82"/>
      <x:c r="C80" s="82"/>
      <x:c r="D80" s="70"/>
      <x:c r="E80" s="70"/>
      <x:c r="F80" s="70"/>
      <x:c r="G80" s="70"/>
      <x:c r="H80" s="70"/>
      <x:c r="I80" s="70"/>
      <x:c r="J80" s="70"/>
      <x:c r="K80" s="83"/>
      <x:c r="L80" s="83"/>
      <x:c r="M80" s="82"/>
      <x:c r="N80" s="82"/>
    </x:row>
    <x:row r="81">
      <x:c r="A81" s="82"/>
      <x:c r="B81" s="82"/>
      <x:c r="C81" s="82"/>
      <x:c r="D81" s="70"/>
      <x:c r="E81" s="70"/>
      <x:c r="F81" s="70"/>
      <x:c r="G81" s="70"/>
      <x:c r="H81" s="70"/>
      <x:c r="I81" s="70"/>
      <x:c r="J81" s="70"/>
      <x:c r="K81" s="83"/>
      <x:c r="L81" s="83"/>
      <x:c r="M81" s="82"/>
      <x:c r="N81" s="82"/>
    </x:row>
    <x:row r="82">
      <x:c r="A82" s="82"/>
      <x:c r="B82" s="82"/>
      <x:c r="C82" s="82"/>
      <x:c r="D82" s="70"/>
      <x:c r="E82" s="70"/>
      <x:c r="F82" s="70"/>
      <x:c r="G82" s="70"/>
      <x:c r="H82" s="70"/>
      <x:c r="I82" s="70"/>
      <x:c r="J82" s="70"/>
      <x:c r="K82" s="83"/>
      <x:c r="L82" s="83"/>
      <x:c r="M82" s="82"/>
      <x:c r="N82" s="82"/>
    </x:row>
    <x:row r="83">
      <x:c r="A83" s="82"/>
      <x:c r="B83" s="82"/>
      <x:c r="C83" s="82"/>
      <x:c r="D83" s="70"/>
      <x:c r="E83" s="70"/>
      <x:c r="F83" s="70"/>
      <x:c r="G83" s="70"/>
      <x:c r="H83" s="70"/>
      <x:c r="I83" s="70"/>
      <x:c r="J83" s="70"/>
      <x:c r="K83" s="83"/>
      <x:c r="L83" s="83"/>
      <x:c r="M83" s="82"/>
      <x:c r="N83" s="82"/>
    </x:row>
    <x:row r="84">
      <x:c r="A84" s="82"/>
      <x:c r="B84" s="82"/>
      <x:c r="C84" s="82"/>
      <x:c r="D84" s="70"/>
      <x:c r="E84" s="70"/>
      <x:c r="F84" s="70"/>
      <x:c r="G84" s="70"/>
      <x:c r="H84" s="70"/>
      <x:c r="I84" s="70"/>
      <x:c r="J84" s="70"/>
      <x:c r="K84" s="83"/>
      <x:c r="L84" s="83"/>
      <x:c r="M84" s="82"/>
      <x:c r="N84" s="82"/>
    </x:row>
    <x:row r="85">
      <x:c r="A85" s="82"/>
      <x:c r="B85" s="82"/>
      <x:c r="C85" s="82"/>
      <x:c r="D85" s="70"/>
      <x:c r="E85" s="70"/>
      <x:c r="F85" s="70"/>
      <x:c r="G85" s="70"/>
      <x:c r="H85" s="70"/>
      <x:c r="I85" s="70"/>
      <x:c r="J85" s="70"/>
      <x:c r="K85" s="83"/>
      <x:c r="L85" s="83"/>
      <x:c r="M85" s="82"/>
      <x:c r="N85" s="82"/>
    </x:row>
    <x:row r="86">
      <x:c r="A86" s="82"/>
      <x:c r="B86" s="82"/>
      <x:c r="C86" s="82"/>
      <x:c r="D86" s="70"/>
      <x:c r="E86" s="70"/>
      <x:c r="F86" s="70"/>
      <x:c r="G86" s="70"/>
      <x:c r="H86" s="70"/>
      <x:c r="I86" s="70"/>
      <x:c r="J86" s="70"/>
      <x:c r="K86" s="83"/>
      <x:c r="L86" s="83"/>
      <x:c r="M86" s="82"/>
      <x:c r="N86" s="82"/>
    </x:row>
    <x:row r="87">
      <x:c r="A87" s="82"/>
      <x:c r="B87" s="82"/>
      <x:c r="C87" s="82"/>
      <x:c r="D87" s="70"/>
      <x:c r="E87" s="70"/>
      <x:c r="F87" s="70"/>
      <x:c r="G87" s="70"/>
      <x:c r="H87" s="70"/>
      <x:c r="I87" s="70"/>
      <x:c r="J87" s="70"/>
      <x:c r="K87" s="83"/>
      <x:c r="L87" s="83"/>
      <x:c r="M87" s="82"/>
      <x:c r="N87" s="82"/>
    </x:row>
    <x:row r="88">
      <x:c r="A88" s="82"/>
      <x:c r="B88" s="82"/>
      <x:c r="C88" s="82"/>
      <x:c r="D88" s="70"/>
      <x:c r="E88" s="70"/>
      <x:c r="F88" s="70"/>
      <x:c r="G88" s="70"/>
      <x:c r="H88" s="70"/>
      <x:c r="I88" s="70"/>
      <x:c r="J88" s="70"/>
      <x:c r="K88" s="83"/>
      <x:c r="L88" s="83"/>
      <x:c r="M88" s="82"/>
      <x:c r="N88" s="82"/>
    </x:row>
    <x:row r="89">
      <x:c r="A89" s="82"/>
      <x:c r="B89" s="82"/>
      <x:c r="C89" s="82"/>
      <x:c r="D89" s="70"/>
      <x:c r="E89" s="70"/>
      <x:c r="F89" s="70"/>
      <x:c r="G89" s="70"/>
      <x:c r="H89" s="70"/>
      <x:c r="I89" s="70"/>
      <x:c r="J89" s="70"/>
      <x:c r="K89" s="83"/>
      <x:c r="L89" s="83"/>
      <x:c r="M89" s="82"/>
      <x:c r="N89" s="82"/>
    </x:row>
    <x:row r="90">
      <x:c r="A90" s="82"/>
      <x:c r="B90" s="82"/>
      <x:c r="C90" s="82"/>
      <x:c r="D90" s="70"/>
      <x:c r="E90" s="70"/>
      <x:c r="F90" s="70"/>
      <x:c r="G90" s="70"/>
      <x:c r="H90" s="70"/>
      <x:c r="I90" s="70"/>
      <x:c r="J90" s="70"/>
      <x:c r="K90" s="83"/>
      <x:c r="L90" s="83"/>
      <x:c r="M90" s="82"/>
      <x:c r="N90" s="82"/>
    </x:row>
    <x:row r="91">
      <x:c r="A91" s="82"/>
      <x:c r="B91" s="82"/>
      <x:c r="C91" s="82"/>
      <x:c r="D91" s="70"/>
      <x:c r="E91" s="70"/>
      <x:c r="F91" s="70"/>
      <x:c r="G91" s="70"/>
      <x:c r="H91" s="70"/>
      <x:c r="I91" s="70"/>
      <x:c r="J91" s="70"/>
      <x:c r="K91" s="83"/>
      <x:c r="L91" s="83"/>
      <x:c r="M91" s="82"/>
      <x:c r="N91" s="82"/>
    </x:row>
    <x:row r="92">
      <x:c r="A92" s="82"/>
      <x:c r="B92" s="82"/>
      <x:c r="C92" s="82"/>
      <x:c r="D92" s="70"/>
      <x:c r="E92" s="70"/>
      <x:c r="F92" s="70"/>
      <x:c r="G92" s="70"/>
      <x:c r="H92" s="70"/>
      <x:c r="I92" s="70"/>
      <x:c r="J92" s="70"/>
      <x:c r="K92" s="83"/>
      <x:c r="L92" s="83"/>
      <x:c r="M92" s="82"/>
      <x:c r="N92" s="82"/>
    </x:row>
    <x:row r="93">
      <x:c r="A93" s="82"/>
      <x:c r="B93" s="82"/>
      <x:c r="C93" s="82"/>
      <x:c r="D93" s="70"/>
      <x:c r="E93" s="70"/>
      <x:c r="F93" s="70"/>
      <x:c r="G93" s="70"/>
      <x:c r="H93" s="70"/>
      <x:c r="I93" s="70"/>
      <x:c r="J93" s="70"/>
      <x:c r="K93" s="83"/>
      <x:c r="L93" s="83"/>
      <x:c r="M93" s="82"/>
      <x:c r="N93" s="82"/>
    </x:row>
    <x:row r="94">
      <x:c r="A94" s="82"/>
      <x:c r="B94" s="82"/>
      <x:c r="C94" s="82"/>
      <x:c r="D94" s="70"/>
      <x:c r="E94" s="70"/>
      <x:c r="F94" s="70"/>
      <x:c r="G94" s="70"/>
      <x:c r="H94" s="70"/>
      <x:c r="I94" s="70"/>
      <x:c r="J94" s="70"/>
      <x:c r="K94" s="83"/>
      <x:c r="L94" s="83"/>
      <x:c r="M94" s="82"/>
      <x:c r="N94" s="82"/>
    </x:row>
    <x:row r="95">
      <x:c r="A95" s="82"/>
      <x:c r="B95" s="82"/>
      <x:c r="C95" s="82"/>
      <x:c r="D95" s="70"/>
      <x:c r="E95" s="70"/>
      <x:c r="F95" s="70"/>
      <x:c r="G95" s="70"/>
      <x:c r="H95" s="70"/>
      <x:c r="I95" s="70"/>
      <x:c r="J95" s="70"/>
      <x:c r="K95" s="83"/>
      <x:c r="L95" s="83"/>
      <x:c r="M95" s="82"/>
      <x:c r="N95" s="82"/>
    </x:row>
    <x:row r="96">
      <x:c r="A96" s="82"/>
      <x:c r="B96" s="82"/>
      <x:c r="C96" s="82"/>
      <x:c r="D96" s="70"/>
      <x:c r="E96" s="70"/>
      <x:c r="F96" s="70"/>
      <x:c r="G96" s="70"/>
      <x:c r="H96" s="70"/>
      <x:c r="I96" s="70"/>
      <x:c r="J96" s="70"/>
      <x:c r="K96" s="83"/>
      <x:c r="L96" s="83"/>
      <x:c r="M96" s="82"/>
      <x:c r="N96" s="82"/>
    </x:row>
    <x:row r="97">
      <x:c r="A97" s="82"/>
      <x:c r="B97" s="82"/>
      <x:c r="C97" s="82"/>
      <x:c r="D97" s="70"/>
      <x:c r="E97" s="70"/>
      <x:c r="F97" s="70"/>
      <x:c r="G97" s="70"/>
      <x:c r="H97" s="70"/>
      <x:c r="I97" s="70"/>
      <x:c r="J97" s="70"/>
      <x:c r="K97" s="83"/>
      <x:c r="L97" s="83"/>
      <x:c r="M97" s="82"/>
      <x:c r="N97" s="82"/>
    </x:row>
    <x:row r="98">
      <x:c r="A98" s="82"/>
      <x:c r="B98" s="82"/>
      <x:c r="C98" s="82"/>
      <x:c r="D98" s="70"/>
      <x:c r="E98" s="70"/>
      <x:c r="F98" s="70"/>
      <x:c r="G98" s="70"/>
      <x:c r="H98" s="70"/>
      <x:c r="I98" s="70"/>
      <x:c r="J98" s="70"/>
      <x:c r="K98" s="83"/>
      <x:c r="L98" s="83"/>
      <x:c r="M98" s="82"/>
      <x:c r="N98" s="82"/>
    </x:row>
    <x:row r="99">
      <x:c r="A99" s="82"/>
      <x:c r="B99" s="82"/>
      <x:c r="C99" s="82"/>
      <x:c r="D99" s="70"/>
      <x:c r="E99" s="70"/>
      <x:c r="F99" s="70"/>
      <x:c r="G99" s="70"/>
      <x:c r="H99" s="70"/>
      <x:c r="I99" s="70"/>
      <x:c r="J99" s="70"/>
      <x:c r="K99" s="83"/>
      <x:c r="L99" s="83"/>
      <x:c r="M99" s="82"/>
      <x:c r="N99" s="82"/>
    </x:row>
    <x:row r="100">
      <x:c r="A100" s="82"/>
      <x:c r="B100" s="82"/>
      <x:c r="C100" s="82"/>
      <x:c r="D100" s="70"/>
      <x:c r="E100" s="70"/>
      <x:c r="F100" s="70"/>
      <x:c r="G100" s="70"/>
      <x:c r="H100" s="70"/>
      <x:c r="I100" s="70"/>
      <x:c r="J100" s="70"/>
      <x:c r="K100" s="83"/>
      <x:c r="L100" s="83"/>
      <x:c r="M100" s="82"/>
      <x:c r="N100" s="82"/>
    </x:row>
  </x:sheetData>
  <x:conditionalFormatting sqref="C2:C100">
    <x:cfRule type="containsText" dxfId="6" priority="1" operator="containsText" text="P0"/>
    <x:cfRule type="containsText" dxfId="7" priority="2" operator="containsText" text="P1"/>
  </x:conditionalFormatting>
  <x:dataValidations count="3">
    <x:dataValidation type="list" sqref="C2:C100">
      <x:formula1>"P0,P1,P2,P3"</x:formula1>
    </x:dataValidation>
    <x:dataValidation type="list" sqref="M2:M100">
      <x:formula1>"待执行,执行中,待验证,已完成,保留跳过"</x:formula1>
    </x:dataValidation>
    <x:dataValidation type="list" sqref="N2:N100">
      <x:formula1>"未修复,分析中,方案已确认,执行中,待验证,已关闭,保留跳过"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31e6c89bc743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42" hidden="0" customWidth="1"/>
    <x:col min="18" max="18" width="28" hidden="0" customWidth="1"/>
  </x:cols>
  <x:sheetData>
    <x:row r="1">
      <x:c r="A1" s="69" t="str">
        <x:v>日期</x:v>
      </x:c>
      <x:c r="B1" s="69" t="str">
        <x:v>采集总量</x:v>
      </x:c>
      <x:c r="C1" s="69" t="str">
        <x:v>唯一文章</x:v>
      </x:c>
      <x:c r="D1" s="69" t="str">
        <x:v>系统可用量</x:v>
      </x:c>
      <x:c r="E1" s="69" t="str">
        <x:v>系统可用率</x:v>
      </x:c>
      <x:c r="F1" s="69" t="str">
        <x:v>配置渠道</x:v>
      </x:c>
      <x:c r="G1" s="69" t="str">
        <x:v>活跃渠道</x:v>
      </x:c>
      <x:c r="H1" s="69" t="str">
        <x:v>有产出渠道</x:v>
      </x:c>
      <x:c r="I1" s="69" t="str">
        <x:v>健康渠道</x:v>
      </x:c>
      <x:c r="J1" s="69" t="str">
        <x:v>零产出渠道</x:v>
      </x:c>
      <x:c r="K1" s="69" t="str">
        <x:v>空闲渠道</x:v>
      </x:c>
      <x:c r="L1" s="69" t="str">
        <x:v>失败渠道</x:v>
      </x:c>
      <x:c r="M1" s="69" t="str">
        <x:v>7日中位数</x:v>
      </x:c>
      <x:c r="N1" s="69" t="str">
        <x:v>相对中位数</x:v>
      </x:c>
      <x:c r="O1" s="69" t="str">
        <x:v>告警级别</x:v>
      </x:c>
      <x:c r="P1" s="69" t="str">
        <x:v>告警代码</x:v>
      </x:c>
      <x:c r="Q1" s="69" t="str">
        <x:v>告警说明</x:v>
      </x:c>
      <x:c r="R1" s="69" t="str">
        <x:v>更新时间</x:v>
      </x:c>
    </x:row>
    <x:row r="2" ht="24" customHeight="1">
      <x:c r="A2" s="82" t="str">
        <x:v>2026-07-29</x:v>
      </x:c>
      <x:c r="B2" s="82" t="n">
        <x:v>219</x:v>
      </x:c>
      <x:c r="C2" s="82" t="n">
        <x:v>219</x:v>
      </x:c>
      <x:c r="D2" s="82" t="n">
        <x:v>211</x:v>
      </x:c>
      <x:c r="E2" s="84" t="n">
        <x:v>0.9635</x:v>
      </x:c>
      <x:c r="F2" s="82" t="n">
        <x:v>57</x:v>
      </x:c>
      <x:c r="G2" s="82" t="n">
        <x:v>43</x:v>
      </x:c>
      <x:c r="H2" s="82" t="n">
        <x:v>30</x:v>
      </x:c>
      <x:c r="I2" s="82" t="n">
        <x:v>28</x:v>
      </x:c>
      <x:c r="J2" s="82" t="n">
        <x:v>6</x:v>
      </x:c>
      <x:c r="K2" s="82" t="n">
        <x:v>7</x:v>
      </x:c>
      <x:c r="L2" s="82" t="n">
        <x:v>0</x:v>
      </x:c>
      <x:c r="M2" s="82" t="n">
        <x:v>100</x:v>
      </x:c>
      <x:c r="N2" s="85" t="n">
        <x:v>2.19</x:v>
      </x:c>
      <x:c r="O2" s="82" t="str">
        <x:v>预警</x:v>
      </x:c>
      <x:c r="P2" s="82" t="str">
        <x:v>overall_surge</x:v>
      </x:c>
      <x:c r="Q2" s="70" t="str">
        <x:v>总量较 7 日中位数增至 2.19 倍</x:v>
      </x:c>
      <x:c r="R2" s="70" t="str">
        <x:v>更新：2026-07-30 07:38:03 +08:00</x:v>
      </x:c>
    </x:row>
    <x:row r="3" ht="24" customHeight="1">
      <x:c r="A3" s="82" t="str">
        <x:v>2026-07-30</x:v>
      </x:c>
      <x:c r="B3" s="82" t="n">
        <x:v>217</x:v>
      </x:c>
      <x:c r="C3" s="82" t="n">
        <x:v>217</x:v>
      </x:c>
      <x:c r="D3" s="82" t="n">
        <x:v>204</x:v>
      </x:c>
      <x:c r="E3" s="84" t="n">
        <x:v>0.9401</x:v>
      </x:c>
      <x:c r="F3" s="82" t="n">
        <x:v>57</x:v>
      </x:c>
      <x:c r="G3" s="82" t="n">
        <x:v>43</x:v>
      </x:c>
      <x:c r="H3" s="82" t="n">
        <x:v>27</x:v>
      </x:c>
      <x:c r="I3" s="82" t="n">
        <x:v>25</x:v>
      </x:c>
      <x:c r="J3" s="82" t="n">
        <x:v>9</x:v>
      </x:c>
      <x:c r="K3" s="82" t="n">
        <x:v>7</x:v>
      </x:c>
      <x:c r="L3" s="82" t="n">
        <x:v>0</x:v>
      </x:c>
      <x:c r="M3" s="82" t="n">
        <x:v>129</x:v>
      </x:c>
      <x:c r="N3" s="85" t="n">
        <x:v>1.68</x:v>
      </x:c>
      <x:c r="O3" s="82" t="str">
        <x:v>正常</x:v>
      </x:c>
      <x:c r="P3" s="82" t="str"/>
      <x:c r="Q3" s="70" t="str"/>
      <x:c r="R3" s="70" t="str">
        <x:v>更新：2026-07-31 07:45:58 +08:00</x:v>
      </x:c>
    </x:row>
    <x:row r="4" ht="24" customHeight="1">
      <x:c r="A4" s="82" t="str">
        <x:v>2026-07-31</x:v>
      </x:c>
      <x:c r="B4" s="82" t="n">
        <x:v>216</x:v>
      </x:c>
      <x:c r="C4" s="82" t="n">
        <x:v>216</x:v>
      </x:c>
      <x:c r="D4" s="82" t="n">
        <x:v>206</x:v>
      </x:c>
      <x:c r="E4" s="84" t="n">
        <x:v>0.9537</x:v>
      </x:c>
      <x:c r="F4" s="82" t="n">
        <x:v>57</x:v>
      </x:c>
      <x:c r="G4" s="82" t="n">
        <x:v>43</x:v>
      </x:c>
      <x:c r="H4" s="82" t="n">
        <x:v>24</x:v>
      </x:c>
      <x:c r="I4" s="82" t="n">
        <x:v>22</x:v>
      </x:c>
      <x:c r="J4" s="82" t="n">
        <x:v>11</x:v>
      </x:c>
      <x:c r="K4" s="82" t="n">
        <x:v>8</x:v>
      </x:c>
      <x:c r="L4" s="82" t="n">
        <x:v>0</x:v>
      </x:c>
      <x:c r="M4" s="82" t="n">
        <x:v>179</x:v>
      </x:c>
      <x:c r="N4" s="85" t="n">
        <x:v>1.21</x:v>
      </x:c>
      <x:c r="O4" s="82" t="str">
        <x:v>预警</x:v>
      </x:c>
      <x:c r="P4" s="82" t="str">
        <x:v>many_zero_sources</x:v>
      </x:c>
      <x:c r="Q4" s="70" t="str">
        <x:v>11/43 个活跃渠道当天为 0</x:v>
      </x:c>
      <x:c r="R4" s="70" t="str">
        <x:v>更新：2026-08-01 07:45:12 +08:00</x:v>
      </x:c>
    </x:row>
    <x:row r="5" ht="24" customHeight="1">
      <x:c r="A5" s="82" t="str">
        <x:v>2026-08-01</x:v>
      </x:c>
      <x:c r="B5" s="82" t="n">
        <x:v>100</x:v>
      </x:c>
      <x:c r="C5" s="82" t="n">
        <x:v>100</x:v>
      </x:c>
      <x:c r="D5" s="82" t="n">
        <x:v>96</x:v>
      </x:c>
      <x:c r="E5" s="84" t="n">
        <x:v>0.96</x:v>
      </x:c>
      <x:c r="F5" s="82" t="n">
        <x:v>57</x:v>
      </x:c>
      <x:c r="G5" s="82" t="n">
        <x:v>43</x:v>
      </x:c>
      <x:c r="H5" s="82" t="n">
        <x:v>13</x:v>
      </x:c>
      <x:c r="I5" s="82" t="n">
        <x:v>12</x:v>
      </x:c>
      <x:c r="J5" s="82" t="n">
        <x:v>9</x:v>
      </x:c>
      <x:c r="K5" s="82" t="n">
        <x:v>21</x:v>
      </x:c>
      <x:c r="L5" s="82" t="n">
        <x:v>0</x:v>
      </x:c>
      <x:c r="M5" s="82" t="n">
        <x:v>192</x:v>
      </x:c>
      <x:c r="N5" s="85" t="n">
        <x:v>0.52</x:v>
      </x:c>
      <x:c r="O5" s="82" t="str">
        <x:v>正常</x:v>
      </x:c>
      <x:c r="P5" s="82" t="str"/>
      <x:c r="Q5" s="70" t="str"/>
      <x:c r="R5" s="70" t="str">
        <x:v>更新：2026-08-02 07:34:45 +08:00</x:v>
      </x:c>
    </x:row>
    <x:row r="6" ht="24" customHeight="1">
      <x:c r="A6" s="82" t="str">
        <x:v>2026-08-02</x:v>
      </x:c>
      <x:c r="B6" s="82" t="n">
        <x:v>79</x:v>
      </x:c>
      <x:c r="C6" s="82" t="n">
        <x:v>79</x:v>
      </x:c>
      <x:c r="D6" s="82" t="n">
        <x:v>75</x:v>
      </x:c>
      <x:c r="E6" s="84" t="n">
        <x:v>0.9494</x:v>
      </x:c>
      <x:c r="F6" s="82" t="n">
        <x:v>57</x:v>
      </x:c>
      <x:c r="G6" s="82" t="n">
        <x:v>43</x:v>
      </x:c>
      <x:c r="H6" s="82" t="n">
        <x:v>11</x:v>
      </x:c>
      <x:c r="I6" s="82" t="n">
        <x:v>9</x:v>
      </x:c>
      <x:c r="J6" s="82" t="n">
        <x:v>9</x:v>
      </x:c>
      <x:c r="K6" s="82" t="n">
        <x:v>23</x:v>
      </x:c>
      <x:c r="L6" s="82" t="n">
        <x:v>0</x:v>
      </x:c>
      <x:c r="M6" s="82" t="n">
        <x:v>192</x:v>
      </x:c>
      <x:c r="N6" s="85" t="n">
        <x:v>0.41</x:v>
      </x:c>
      <x:c r="O6" s="82" t="str">
        <x:v>预警</x:v>
      </x:c>
      <x:c r="P6" s="82" t="str">
        <x:v>overall_drop</x:v>
      </x:c>
      <x:c r="Q6" s="70" t="str">
        <x:v>总量仅为 7 日中位数的 0.41 倍</x:v>
      </x:c>
      <x:c r="R6" s="70" t="str">
        <x:v>更新：2026-08-03 07:52:05 +08:00</x:v>
      </x:c>
    </x:row>
    <x:row r="7" ht="24" customHeight="1">
      <x:c r="A7" s="82" t="str">
        <x:v>2026-08-03</x:v>
      </x:c>
      <x:c r="B7" s="82" t="n">
        <x:v>217</x:v>
      </x:c>
      <x:c r="C7" s="82" t="n">
        <x:v>217</x:v>
      </x:c>
      <x:c r="D7" s="82" t="n">
        <x:v>209</x:v>
      </x:c>
      <x:c r="E7" s="84" t="n">
        <x:v>0.9631</x:v>
      </x:c>
      <x:c r="F7" s="82" t="n">
        <x:v>57</x:v>
      </x:c>
      <x:c r="G7" s="82" t="n">
        <x:v>43</x:v>
      </x:c>
      <x:c r="H7" s="82" t="n">
        <x:v>24</x:v>
      </x:c>
      <x:c r="I7" s="82" t="n">
        <x:v>22</x:v>
      </x:c>
      <x:c r="J7" s="82" t="n">
        <x:v>11</x:v>
      </x:c>
      <x:c r="K7" s="82" t="n">
        <x:v>8</x:v>
      </x:c>
      <x:c r="L7" s="82" t="n">
        <x:v>0</x:v>
      </x:c>
      <x:c r="M7" s="82" t="n">
        <x:v>192</x:v>
      </x:c>
      <x:c r="N7" s="85" t="n">
        <x:v>1.13</x:v>
      </x:c>
      <x:c r="O7" s="82" t="str">
        <x:v>预警</x:v>
      </x:c>
      <x:c r="P7" s="82" t="str">
        <x:v>many_zero_sources</x:v>
      </x:c>
      <x:c r="Q7" s="70" t="str">
        <x:v>11/43 个活跃渠道当天为 0</x:v>
      </x:c>
      <x:c r="R7" s="70" t="str">
        <x:v>更新：2026-08-04 07:40:17 +08:00</x:v>
      </x:c>
    </x:row>
    <x:row r="8" ht="24" customHeight="1">
      <x:c r="A8" s="82" t="str">
        <x:v>2026-08-04</x:v>
      </x:c>
      <x:c r="B8" s="82" t="n">
        <x:v>218</x:v>
      </x:c>
      <x:c r="C8" s="82" t="n">
        <x:v>218</x:v>
      </x:c>
      <x:c r="D8" s="82" t="n">
        <x:v>208</x:v>
      </x:c>
      <x:c r="E8" s="84" t="n">
        <x:v>0.9541</x:v>
      </x:c>
      <x:c r="F8" s="82" t="n">
        <x:v>57</x:v>
      </x:c>
      <x:c r="G8" s="82" t="n">
        <x:v>43</x:v>
      </x:c>
      <x:c r="H8" s="82" t="n">
        <x:v>30</x:v>
      </x:c>
      <x:c r="I8" s="82" t="n">
        <x:v>28</x:v>
      </x:c>
      <x:c r="J8" s="82" t="n">
        <x:v>8</x:v>
      </x:c>
      <x:c r="K8" s="82" t="n">
        <x:v>5</x:v>
      </x:c>
      <x:c r="L8" s="82" t="n">
        <x:v>0</x:v>
      </x:c>
      <x:c r="M8" s="82" t="n">
        <x:v>216</x:v>
      </x:c>
      <x:c r="N8" s="85" t="n">
        <x:v>1.01</x:v>
      </x:c>
      <x:c r="O8" s="82" t="str">
        <x:v>正常</x:v>
      </x:c>
      <x:c r="P8" s="82" t="str"/>
      <x:c r="Q8" s="70" t="str"/>
      <x:c r="R8" s="70" t="str">
        <x:v>更新：2026-08-05 07:42:43 +08:00</x:v>
      </x:c>
    </x:row>
  </x:sheetData>
  <x:conditionalFormatting sqref="O2:O8">
    <x:cfRule type="containsText" dxfId="8" priority="1" operator="containsText" text="预警"/>
  </x:conditionalFormatting>
  <x:pageMargins left="0.7" right="0.7" top="0.75" bottom="0.75" header="0.3" footer="0.3"/>
  <x:tableParts count="1">
    <x:tablePart xmlns:r="http://schemas.openxmlformats.org/officeDocument/2006/relationships" r:id="R009bad2da34f40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5" hidden="0" customWidth="1"/>
    <x:col min="4" max="4" width="15" hidden="0" customWidth="1"/>
    <x:col min="5" max="5" width="34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15" hidden="0" customWidth="1"/>
  </x:cols>
  <x:sheetData>
    <x:row r="1">
      <x:c r="A1" s="69" t="str">
        <x:v>序号</x:v>
      </x:c>
      <x:c r="B1" s="69" t="str">
        <x:v>渠道</x:v>
      </x:c>
      <x:c r="C1" s="69" t="str">
        <x:v>主干领域</x:v>
      </x:c>
      <x:c r="D1" s="69" t="str">
        <x:v>更新频率</x:v>
      </x:c>
      <x:c r="E1" s="69" t="str">
        <x:v>链接</x:v>
      </x:c>
      <x:c r="F1" s="69" t="str">
        <x:v>最新状态</x:v>
      </x:c>
      <x:c r="G1" s="69" t="str">
        <x:v>周采集量</x:v>
      </x:c>
      <x:c r="H1" s="69" t="str">
        <x:v>周可用量</x:v>
      </x:c>
      <x:c r="I1" s="69" t="str">
        <x:v>周零产出天数</x:v>
      </x:c>
      <x:c r="J1" s="69" t="str">
        <x:v>周降级天数</x:v>
      </x:c>
      <x:c r="K1" s="69" t="str">
        <x:v>连续异常</x:v>
      </x:c>
      <x:c r="L1" s="69" t="str">
        <x:v>未结事件</x:v>
      </x:c>
      <x:c r="M1" s="69" t="str">
        <x:v>最近成功日期</x:v>
      </x:c>
      <x:c r="N1" s="69" t="str">
        <x:v>抓取模式</x:v>
      </x:c>
      <x:c r="O1" s="69" t="str">
        <x:v>最新候选数</x:v>
      </x:c>
      <x:c r="P1" s="69" t="str">
        <x:v>最新抓取页数</x:v>
      </x:c>
      <x:c r="Q1" s="69" t="str">
        <x:v>最新采集量</x:v>
      </x:c>
      <x:c r="R1" s="69" t="str">
        <x:v>最新可用量</x:v>
      </x:c>
      <x:c r="S1" s="69" t="str">
        <x:v>问题编号</x:v>
      </x:c>
      <x:c r="T1" s="69" t="str">
        <x:v>异常/维护说明</x:v>
      </x:c>
      <x:c r="U1" s="69" t="str">
        <x:v>用户确认原因</x:v>
      </x:c>
      <x:c r="V1" s="69" t="str">
        <x:v>用户修复方案</x:v>
      </x:c>
      <x:c r="W1" s="69" t="str">
        <x:v>执行状态</x:v>
      </x:c>
      <x:c r="X1" s="69" t="str">
        <x:v>我方执行记录</x:v>
      </x:c>
      <x:c r="Y1" s="69" t="str">
        <x:v>验证结果</x:v>
      </x:c>
      <x:c r="Z1" s="69" t="str">
        <x:v>最后维护日期</x:v>
      </x:c>
    </x:row>
    <x:row r="2" ht="38" customHeight="1">
      <x:c r="A2" s="82" t="n">
        <x:v>1</x:v>
      </x:c>
      <x:c r="B2" s="82" t="str">
        <x:v>4C Offshore</x:v>
      </x:c>
      <x:c r="C2" s="82" t="str">
        <x:v>风能</x:v>
      </x:c>
      <x:c r="D2" s="82" t="str">
        <x:v>工作日</x:v>
      </x:c>
      <x:c r="E2" s="70" t="str">
        <x:v>https://www.tgs4c.com/news/</x:v>
      </x:c>
      <x:c r="F2" s="82" t="str">
        <x:v>零产出异常</x:v>
      </x:c>
      <x:c r="G2" s="82" t="n">
        <x:v>11</x:v>
      </x:c>
      <x:c r="H2" s="82" t="n">
        <x:v>11</x:v>
      </x:c>
      <x:c r="I2" s="82" t="n">
        <x:v>2</x:v>
      </x:c>
      <x:c r="J2" s="82" t="n">
        <x:v>0</x:v>
      </x:c>
      <x:c r="K2" s="82" t="n">
        <x:v>2</x:v>
      </x:c>
      <x:c r="L2" s="82" t="n">
        <x:v>2</x:v>
      </x:c>
      <x:c r="M2" s="82" t="str">
        <x:v>2026-08-02</x:v>
      </x:c>
      <x:c r="N2" s="82" t="str">
        <x:v>listing</x:v>
      </x:c>
      <x:c r="O2" s="82" t="n">
        <x:v>94</x:v>
      </x:c>
      <x:c r="P2" s="82" t="n">
        <x:v>10</x:v>
      </x:c>
      <x:c r="Q2" s="82" t="n">
        <x:v>0</x:v>
      </x:c>
      <x:c r="R2" s="82" t="n">
        <x:v>0</x:v>
      </x:c>
      <x:c r="S2" s="70" t="str">
        <x:v>ZERO-008</x:v>
      </x:c>
      <x:c r="T2" s="70" t="str">
        <x:v>no target-date articles were collected</x:v>
      </x:c>
      <x:c r="U2" s="83" t="str"/>
      <x:c r="V2" s="83" t="str"/>
      <x:c r="W2" s="70" t="str">
        <x:v>待执行</x:v>
      </x:c>
      <x:c r="X2" s="70" t="str"/>
      <x:c r="Y2" s="70" t="str"/>
      <x:c r="Z2" s="82" t="str">
        <x:v>2026-08-05</x:v>
      </x:c>
    </x:row>
    <x:row r="3" ht="38" customHeight="1">
      <x:c r="A3" s="82" t="n">
        <x:v>2</x:v>
      </x:c>
      <x:c r="B3" s="82" t="str">
        <x:v>Electrek</x:v>
      </x:c>
      <x:c r="C3" s="82" t="str">
        <x:v>电池</x:v>
      </x:c>
      <x:c r="D3" s="82" t="str">
        <x:v>实时</x:v>
      </x:c>
      <x:c r="E3" s="70" t="str">
        <x:v>https://electrek.co/</x:v>
      </x:c>
      <x:c r="F3" s="82" t="str">
        <x:v>健康</x:v>
      </x:c>
      <x:c r="G3" s="82" t="n">
        <x:v>27</x:v>
      </x:c>
      <x:c r="H3" s="82" t="n">
        <x:v>27</x:v>
      </x:c>
      <x:c r="I3" s="82" t="n">
        <x:v>1</x:v>
      </x:c>
      <x:c r="J3" s="82" t="n">
        <x:v>0</x:v>
      </x:c>
      <x:c r="K3" s="82" t="n">
        <x:v>0</x:v>
      </x:c>
      <x:c r="L3" s="82" t="n">
        <x:v>1</x:v>
      </x:c>
      <x:c r="M3" s="82" t="str">
        <x:v>2026-08-04</x:v>
      </x:c>
      <x:c r="N3" s="82" t="str">
        <x:v>rss</x:v>
      </x:c>
      <x:c r="O3" s="82" t="n">
        <x:v>100</x:v>
      </x:c>
      <x:c r="P3" s="82" t="n">
        <x:v>14</x:v>
      </x:c>
      <x:c r="Q3" s="82" t="n">
        <x:v>7</x:v>
      </x:c>
      <x:c r="R3" s="82" t="n">
        <x:v>7</x:v>
      </x:c>
      <x:c r="S3" s="70" t="str">
        <x:v>ALERT-001</x:v>
      </x:c>
      <x:c r="T3" s="70" t="str">
        <x:v>当前已恢复/低频，但仍有历史未结事件</x:v>
      </x:c>
      <x:c r="U3" s="83" t="str"/>
      <x:c r="V3" s="83" t="str"/>
      <x:c r="W3" s="70" t="str">
        <x:v>待执行</x:v>
      </x:c>
      <x:c r="X3" s="70" t="str"/>
      <x:c r="Y3" s="70" t="str"/>
      <x:c r="Z3" s="82" t="str">
        <x:v>2026-08-05</x:v>
      </x:c>
    </x:row>
    <x:row r="4" ht="38" customHeight="1">
      <x:c r="A4" s="82" t="n">
        <x:v>3</x:v>
      </x:c>
      <x:c r="B4" s="82" t="str">
        <x:v>electrive</x:v>
      </x:c>
      <x:c r="C4" s="82" t="str">
        <x:v>电池</x:v>
      </x:c>
      <x:c r="D4" s="82" t="str">
        <x:v>工作日</x:v>
      </x:c>
      <x:c r="E4" s="70" t="str">
        <x:v>https://www.electrive.com/</x:v>
      </x:c>
      <x:c r="F4" s="82" t="str">
        <x:v>健康</x:v>
      </x:c>
      <x:c r="G4" s="82" t="n">
        <x:v>8</x:v>
      </x:c>
      <x:c r="H4" s="82" t="n">
        <x:v>8</x:v>
      </x:c>
      <x:c r="I4" s="82" t="n">
        <x:v>0</x:v>
      </x:c>
      <x:c r="J4" s="82" t="n">
        <x:v>0</x:v>
      </x:c>
      <x:c r="K4" s="82" t="n">
        <x:v>0</x:v>
      </x:c>
      <x:c r="L4" s="82" t="n">
        <x:v>1</x:v>
      </x:c>
      <x:c r="M4" s="82" t="str">
        <x:v>2026-08-04</x:v>
      </x:c>
      <x:c r="N4" s="82" t="str">
        <x:v>rss</x:v>
      </x:c>
      <x:c r="O4" s="82" t="n">
        <x:v>30</x:v>
      </x:c>
      <x:c r="P4" s="82" t="n">
        <x:v>2</x:v>
      </x:c>
      <x:c r="Q4" s="82" t="n">
        <x:v>2</x:v>
      </x:c>
      <x:c r="R4" s="82" t="n">
        <x:v>2</x:v>
      </x:c>
      <x:c r="S4" s="70" t="str">
        <x:v>ALERT-001</x:v>
      </x:c>
      <x:c r="T4" s="70" t="str">
        <x:v>当前已恢复/低频，但仍有历史未结事件</x:v>
      </x:c>
      <x:c r="U4" s="83" t="str"/>
      <x:c r="V4" s="83" t="str"/>
      <x:c r="W4" s="70" t="str">
        <x:v>待执行</x:v>
      </x:c>
      <x:c r="X4" s="70" t="str"/>
      <x:c r="Y4" s="70" t="str"/>
      <x:c r="Z4" s="82" t="str">
        <x:v>2026-08-05</x:v>
      </x:c>
    </x:row>
    <x:row r="5" ht="186" customHeight="1">
      <x:c r="A5" s="82" t="n">
        <x:v>4</x:v>
      </x:c>
      <x:c r="B5" s="82" t="str">
        <x:v>EnergyTrend储能</x:v>
      </x:c>
      <x:c r="C5" s="82" t="str">
        <x:v>储能</x:v>
      </x:c>
      <x:c r="D5" s="82" t="str">
        <x:v>工作日</x:v>
      </x:c>
      <x:c r="E5" s="70" t="str">
        <x:v>https://www.energytrend.cn/news/</x:v>
      </x:c>
      <x:c r="F5" s="82" t="str">
        <x:v>健康</x:v>
      </x:c>
      <x:c r="G5" s="82" t="n">
        <x:v>19</x:v>
      </x:c>
      <x:c r="H5" s="82" t="n">
        <x:v>19</x:v>
      </x:c>
      <x:c r="I5" s="82" t="n">
        <x:v>1</x:v>
      </x:c>
      <x:c r="J5" s="82" t="n">
        <x:v>0</x:v>
      </x:c>
      <x:c r="K5" s="82" t="n">
        <x:v>2</x:v>
      </x:c>
      <x:c r="L5" s="82" t="n">
        <x:v>1</x:v>
      </x:c>
      <x:c r="M5" s="82" t="str">
        <x:v>2026-08-04</x:v>
      </x:c>
      <x:c r="N5" s="82" t="str">
        <x:v>rss</x:v>
      </x:c>
      <x:c r="O5" s="82" t="n">
        <x:v>29</x:v>
      </x:c>
      <x:c r="P5" s="82" t="n">
        <x:v>8</x:v>
      </x:c>
      <x:c r="Q5" s="82" t="n">
        <x:v>8</x:v>
      </x:c>
      <x:c r="R5" s="82" t="n">
        <x:v>8</x:v>
      </x:c>
      <x:c r="S5" s="70" t="str">
        <x:v>ZERO-005</x:v>
      </x:c>
      <x:c r="T5" s="70" t="str">
        <x:v>已改用用户提供的 RSS，技术链路已恢复</x:v>
      </x:c>
      <x:c r="U5" s="83" t="str">
        <x:v>原列表抓取依赖页面结构与详情日期解析，候选页请求成功但目标日期持续零入库。</x:v>
      </x:c>
      <x:c r="V5" s="83" t="str">
        <x:v>改用 https://www.energytrend.cn/rss.xml；仅保留 /news/YYYYMMDD-ID.html，排除 pricequotes/research；RSS 无摘要时拉取详情正文，继续执行目标日期和 URL 去重。</x:v>
      </x:c>
      <x:c r="W5" s="70" t="str">
        <x:v>已完成</x:v>
      </x:c>
      <x:c r="X5" s="70" t="str">
        <x:v>更新 sources.xlsx RSS 配置；新增源站 RSS 链接过滤钩子；回补 2026-07-29—2026-08-04 可用日期。
2026-08-06 历史数据合并：08-04发布记录8条按规范化URL去重并新增，重新生成对应CSV。</x:v>
      </x:c>
      <x:c r="Y5" s="70" t="str">
        <x:v>验证通过：07-29 4篇、07-30 3篇、07-31 4篇、08-04 8篇，合计19篇；URL唯一19，正文可用19篇；08-04状态 healthy。
新增8条、重复0条；正文376—1,674字，8条均通过完整性检查。</x:v>
      </x:c>
      <x:c r="Z5" s="70" t="str">
        <x:v>2026-08-06</x:v>
      </x:c>
    </x:row>
    <x:row r="6" ht="38" customHeight="1">
      <x:c r="A6" s="82" t="n">
        <x:v>5</x:v>
      </x:c>
      <x:c r="B6" s="82" t="str">
        <x:v>H2 View</x:v>
      </x:c>
      <x:c r="C6" s="82" t="str">
        <x:v>氢能</x:v>
      </x:c>
      <x:c r="D6" s="82" t="str">
        <x:v>工作日</x:v>
      </x:c>
      <x:c r="E6" s="70" t="str">
        <x:v>https://www.gasworld.com/h2-view/latest-news/</x:v>
      </x:c>
      <x:c r="F6" s="82" t="str">
        <x:v>正文质量降级</x:v>
      </x:c>
      <x:c r="G6" s="82" t="n">
        <x:v>30</x:v>
      </x:c>
      <x:c r="H6" s="82" t="n">
        <x:v>13</x:v>
      </x:c>
      <x:c r="I6" s="82" t="n">
        <x:v>0</x:v>
      </x:c>
      <x:c r="J6" s="82" t="n">
        <x:v>5</x:v>
      </x:c>
      <x:c r="K6" s="82" t="n">
        <x:v>2</x:v>
      </x:c>
      <x:c r="L6" s="82" t="n">
        <x:v>1</x:v>
      </x:c>
      <x:c r="M6" s="82" t="str">
        <x:v>2026-08-02</x:v>
      </x:c>
      <x:c r="N6" s="82" t="str">
        <x:v>listing</x:v>
      </x:c>
      <x:c r="O6" s="82" t="n">
        <x:v>12</x:v>
      </x:c>
      <x:c r="P6" s="82" t="n">
        <x:v>12</x:v>
      </x:c>
      <x:c r="Q6" s="82" t="n">
        <x:v>5</x:v>
      </x:c>
      <x:c r="R6" s="82" t="n">
        <x:v>2</x:v>
      </x:c>
      <x:c r="S6" s="70" t="str">
        <x:v>QUAL-002</x:v>
      </x:c>
      <x:c r="T6" s="70" t="str">
        <x:v>3 articles were not verified as full text</x:v>
      </x:c>
      <x:c r="U6" s="83" t="str"/>
      <x:c r="V6" s="83" t="str"/>
      <x:c r="W6" s="70" t="str">
        <x:v>待执行</x:v>
      </x:c>
      <x:c r="X6" s="70" t="str"/>
      <x:c r="Y6" s="70" t="str"/>
      <x:c r="Z6" s="82" t="str">
        <x:v>2026-08-05</x:v>
      </x:c>
    </x:row>
    <x:row r="7" ht="38" customHeight="1">
      <x:c r="A7" s="82" t="n">
        <x:v>6</x:v>
      </x:c>
      <x:c r="B7" s="82" t="str">
        <x:v>Informationsdienst Wissenschaft-idw</x:v>
      </x:c>
      <x:c r="C7" s="82" t="str">
        <x:v>综合科技</x:v>
      </x:c>
      <x:c r="D7" s="82" t="str">
        <x:v>工作日</x:v>
      </x:c>
      <x:c r="E7" s="70" t="str">
        <x:v>https://nachrichten.idw-online.de/groups/technologie</x:v>
      </x:c>
      <x:c r="F7" s="82" t="str">
        <x:v>健康</x:v>
      </x:c>
      <x:c r="G7" s="82" t="n">
        <x:v>8</x:v>
      </x:c>
      <x:c r="H7" s="82" t="n">
        <x:v>8</x:v>
      </x:c>
      <x:c r="I7" s="82" t="n">
        <x:v>0</x:v>
      </x:c>
      <x:c r="J7" s="82" t="n">
        <x:v>0</x:v>
      </x:c>
      <x:c r="K7" s="82" t="n">
        <x:v>0</x:v>
      </x:c>
      <x:c r="L7" s="82" t="n">
        <x:v>1</x:v>
      </x:c>
      <x:c r="M7" s="82" t="str">
        <x:v>2026-08-04</x:v>
      </x:c>
      <x:c r="N7" s="82" t="str">
        <x:v>listing</x:v>
      </x:c>
      <x:c r="O7" s="82" t="n">
        <x:v>73</x:v>
      </x:c>
      <x:c r="P7" s="82" t="n">
        <x:v>13</x:v>
      </x:c>
      <x:c r="Q7" s="82" t="n">
        <x:v>3</x:v>
      </x:c>
      <x:c r="R7" s="82" t="n">
        <x:v>3</x:v>
      </x:c>
      <x:c r="S7" s="70" t="str">
        <x:v>ALERT-001</x:v>
      </x:c>
      <x:c r="T7" s="70" t="str">
        <x:v>当前已恢复/低频，但仍有历史未结事件</x:v>
      </x:c>
      <x:c r="U7" s="83" t="str"/>
      <x:c r="V7" s="83" t="str"/>
      <x:c r="W7" s="70" t="str">
        <x:v>待执行</x:v>
      </x:c>
      <x:c r="X7" s="70" t="str"/>
      <x:c r="Y7" s="70" t="str"/>
      <x:c r="Z7" s="82" t="str">
        <x:v>2026-08-05</x:v>
      </x:c>
    </x:row>
    <x:row r="8" ht="38" customHeight="1">
      <x:c r="A8" s="82" t="n">
        <x:v>7</x:v>
      </x:c>
      <x:c r="B8" s="82" t="str">
        <x:v>INSIDEEVs</x:v>
      </x:c>
      <x:c r="C8" s="82" t="str">
        <x:v>电池</x:v>
      </x:c>
      <x:c r="D8" s="82" t="str">
        <x:v>实时</x:v>
      </x:c>
      <x:c r="E8" s="70" t="str">
        <x:v>https://insideevs.com/news/</x:v>
      </x:c>
      <x:c r="F8" s="82" t="str">
        <x:v>正文质量降级</x:v>
      </x:c>
      <x:c r="G8" s="82" t="n">
        <x:v>39</x:v>
      </x:c>
      <x:c r="H8" s="82" t="n">
        <x:v>0</x:v>
      </x:c>
      <x:c r="I8" s="82" t="n">
        <x:v>0</x:v>
      </x:c>
      <x:c r="J8" s="82" t="n">
        <x:v>7</x:v>
      </x:c>
      <x:c r="K8" s="82" t="n">
        <x:v>7</x:v>
      </x:c>
      <x:c r="L8" s="82" t="n">
        <x:v>0</x:v>
      </x:c>
      <x:c r="M8" s="82" t="str"/>
      <x:c r="N8" s="82" t="str">
        <x:v>rss</x:v>
      </x:c>
      <x:c r="O8" s="82" t="n">
        <x:v>20</x:v>
      </x:c>
      <x:c r="P8" s="82" t="n">
        <x:v>7</x:v>
      </x:c>
      <x:c r="Q8" s="82" t="n">
        <x:v>7</x:v>
      </x:c>
      <x:c r="R8" s="82" t="n">
        <x:v>0</x:v>
      </x:c>
      <x:c r="S8" s="70" t="str">
        <x:v>QUAL-001</x:v>
      </x:c>
      <x:c r="T8" s="70" t="str">
        <x:v>7 articles were not verified as full text</x:v>
      </x:c>
      <x:c r="U8" s="83" t="str"/>
      <x:c r="V8" s="83" t="str"/>
      <x:c r="W8" s="70" t="str">
        <x:v>待执行</x:v>
      </x:c>
      <x:c r="X8" s="70" t="str"/>
      <x:c r="Y8" s="70" t="str"/>
      <x:c r="Z8" s="82" t="str">
        <x:v>2026-08-05</x:v>
      </x:c>
    </x:row>
    <x:row r="9" ht="186" customHeight="1">
      <x:c r="A9" s="82" t="n">
        <x:v>8</x:v>
      </x:c>
      <x:c r="B9" s="82" t="str">
        <x:v>interesting engineering</x:v>
      </x:c>
      <x:c r="C9" s="82" t="str">
        <x:v>综合科技</x:v>
      </x:c>
      <x:c r="D9" s="82" t="str">
        <x:v>实时</x:v>
      </x:c>
      <x:c r="E9" s="70" t="str">
        <x:v>https://interestingengineering.com/news</x:v>
      </x:c>
      <x:c r="F9" s="82" t="str">
        <x:v>降级（含公开预览）</x:v>
      </x:c>
      <x:c r="G9" s="82" t="n">
        <x:v>33</x:v>
      </x:c>
      <x:c r="H9" s="82" t="str"/>
      <x:c r="I9" s="82" t="n">
        <x:v>0</x:v>
      </x:c>
      <x:c r="J9" s="82" t="n">
        <x:v>2</x:v>
      </x:c>
      <x:c r="K9" s="82" t="n">
        <x:v>2</x:v>
      </x:c>
      <x:c r="L9" s="82" t="n">
        <x:v>0</x:v>
      </x:c>
      <x:c r="M9" s="82" t="str">
        <x:v>2026-08-06</x:v>
      </x:c>
      <x:c r="N9" s="82" t="str">
        <x:v>listing+rss</x:v>
      </x:c>
      <x:c r="O9" s="82" t="n">
        <x:v>60</x:v>
      </x:c>
      <x:c r="P9" s="82" t="n">
        <x:v>40</x:v>
      </x:c>
      <x:c r="Q9" s="82" t="n">
        <x:v>13</x:v>
      </x:c>
      <x:c r="R9" s="82" t="str"/>
      <x:c r="S9" s="70" t="str">
        <x:v>FIX-IE-001</x:v>
      </x:c>
      <x:c r="T9" s="70" t="str">
        <x:v>归档分页与公开RSS链路已修复；订阅文章仅保存公开预览并标记 incomplete，不计作全文可用。</x:v>
      </x:c>
      <x:c r="U9" s="83" t="str">
        <x:v>原通用流程主要依赖10条RSS，可能漏掉同日较早文章；列表日期与北京时间存在前一日/当日边界；详情公开DOM可能只有订阅前预览。</x:v>
      </x:c>
      <x:c r="V9" s="83" t="str">
        <x:v>新闻归档按日期分组并跟随 /news/page/N；RSS content:encoded 全文优先；未命中RSS只读取 .body-content；RSS精确时间优先，列表前一日/当日作候选窗口。</x:v>
      </x:c>
      <x:c r="W9" s="70" t="str">
        <x:v>已完成</x:v>
      </x:c>
      <x:c r="X9" s="70" t="str">
        <x:v>新增 InterestingEngineeringScraper、分页和时区测试；主流程支持定制抓取器自行组合已配置RSS；正文选择器限定 .body-content。
新增分页、时区、RSS全文优先与公开预览边界测试；主流程支持定制抓取器组合已配置RSS；public_preview 纳入 incomplete/degraded 质量口径。</x:v>
      </x:c>
      <x:c r="Y9" s="70" t="str">
        <x:v>链路回测两日共采集33篇且URL唯一；RSS content:encoded 命中项可验证为全文，未命中项只保留公开预览并明确降级，不能再按旧字数阈值宣称33篇均为全文。</x:v>
      </x:c>
      <x:c r="Z9" s="70" t="str">
        <x:v>2026-08-06</x:v>
      </x:c>
    </x:row>
    <x:row r="10" ht="38" customHeight="1">
      <x:c r="A10" s="82" t="n">
        <x:v>9</x:v>
      </x:c>
      <x:c r="B10" s="82" t="str">
        <x:v>IT之家</x:v>
      </x:c>
      <x:c r="C10" s="82" t="str">
        <x:v>综合媒体</x:v>
      </x:c>
      <x:c r="D10" s="82" t="str">
        <x:v>实时</x:v>
      </x:c>
      <x:c r="E10" s="70" t="str">
        <x:v>https://www.ithome.com/</x:v>
      </x:c>
      <x:c r="F10" s="82" t="str">
        <x:v>健康</x:v>
      </x:c>
      <x:c r="G10" s="82" t="n">
        <x:v>140</x:v>
      </x:c>
      <x:c r="H10" s="82" t="n">
        <x:v>139</x:v>
      </x:c>
      <x:c r="I10" s="82" t="n">
        <x:v>0</x:v>
      </x:c>
      <x:c r="J10" s="82" t="n">
        <x:v>1</x:v>
      </x:c>
      <x:c r="K10" s="82" t="n">
        <x:v>0</x:v>
      </x:c>
      <x:c r="L10" s="82" t="n">
        <x:v>2</x:v>
      </x:c>
      <x:c r="M10" s="82" t="str">
        <x:v>2026-08-04</x:v>
      </x:c>
      <x:c r="N10" s="82" t="str">
        <x:v>rss</x:v>
      </x:c>
      <x:c r="O10" s="82" t="n">
        <x:v>60</x:v>
      </x:c>
      <x:c r="P10" s="82" t="n">
        <x:v>20</x:v>
      </x:c>
      <x:c r="Q10" s="82" t="n">
        <x:v>20</x:v>
      </x:c>
      <x:c r="R10" s="82" t="n">
        <x:v>20</x:v>
      </x:c>
      <x:c r="S10" s="70" t="str">
        <x:v>QUAL-003 / ALERT-001</x:v>
      </x:c>
      <x:c r="T10" s="70" t="str">
        <x:v>最新 8/20 篇低于 500 字阈值；当前已恢复/低频，但仍有历史未结事件</x:v>
      </x:c>
      <x:c r="U10" s="83" t="str"/>
      <x:c r="V10" s="83" t="str"/>
      <x:c r="W10" s="70" t="str">
        <x:v>待执行</x:v>
      </x:c>
      <x:c r="X10" s="70" t="str"/>
      <x:c r="Y10" s="70" t="str"/>
      <x:c r="Z10" s="82" t="str">
        <x:v>2026-08-05</x:v>
      </x:c>
    </x:row>
    <x:row r="11" ht="38" customHeight="1">
      <x:c r="A11" s="82" t="n">
        <x:v>10</x:v>
      </x:c>
      <x:c r="B11" s="82" t="str">
        <x:v>MIT Technology Review</x:v>
      </x:c>
      <x:c r="C11" s="82" t="str">
        <x:v>综合科技</x:v>
      </x:c>
      <x:c r="D11" s="82" t="str">
        <x:v>实时</x:v>
      </x:c>
      <x:c r="E11" s="70" t="str">
        <x:v>https://www.technologyreview.com/</x:v>
      </x:c>
      <x:c r="F11" s="82" t="str">
        <x:v>健康</x:v>
      </x:c>
      <x:c r="G11" s="82" t="n">
        <x:v>9</x:v>
      </x:c>
      <x:c r="H11" s="82" t="n">
        <x:v>9</x:v>
      </x:c>
      <x:c r="I11" s="82" t="n">
        <x:v>2</x:v>
      </x:c>
      <x:c r="J11" s="82" t="n">
        <x:v>0</x:v>
      </x:c>
      <x:c r="K11" s="82" t="n">
        <x:v>0</x:v>
      </x:c>
      <x:c r="L11" s="82" t="n">
        <x:v>3</x:v>
      </x:c>
      <x:c r="M11" s="82" t="str">
        <x:v>2026-08-04</x:v>
      </x:c>
      <x:c r="N11" s="82" t="str">
        <x:v>rss</x:v>
      </x:c>
      <x:c r="O11" s="82" t="n">
        <x:v>10</x:v>
      </x:c>
      <x:c r="P11" s="82" t="n">
        <x:v>2</x:v>
      </x:c>
      <x:c r="Q11" s="82" t="n">
        <x:v>1</x:v>
      </x:c>
      <x:c r="R11" s="82" t="n">
        <x:v>1</x:v>
      </x:c>
      <x:c r="S11" s="70" t="str">
        <x:v>ALERT-001</x:v>
      </x:c>
      <x:c r="T11" s="70" t="str">
        <x:v>当前已恢复/低频，但仍有历史未结事件</x:v>
      </x:c>
      <x:c r="U11" s="83" t="str"/>
      <x:c r="V11" s="83" t="str"/>
      <x:c r="W11" s="70" t="str">
        <x:v>待执行</x:v>
      </x:c>
      <x:c r="X11" s="70" t="str"/>
      <x:c r="Y11" s="70" t="str"/>
      <x:c r="Z11" s="82" t="str">
        <x:v>2026-08-05</x:v>
      </x:c>
    </x:row>
    <x:row r="12" ht="38" customHeight="1">
      <x:c r="A12" s="82" t="n">
        <x:v>11</x:v>
      </x:c>
      <x:c r="B12" s="82" t="str">
        <x:v>NE时代</x:v>
      </x:c>
      <x:c r="C12" s="82" t="str">
        <x:v>电池</x:v>
      </x:c>
      <x:c r="D12" s="82" t="str">
        <x:v>实时</x:v>
      </x:c>
      <x:c r="E12" s="70" t="str">
        <x:v>https://www.ne-time.cn/</x:v>
      </x:c>
      <x:c r="F12" s="82" t="str">
        <x:v>健康</x:v>
      </x:c>
      <x:c r="G12" s="82" t="n">
        <x:v>52</x:v>
      </x:c>
      <x:c r="H12" s="82" t="n">
        <x:v>52</x:v>
      </x:c>
      <x:c r="I12" s="82" t="n">
        <x:v>2</x:v>
      </x:c>
      <x:c r="J12" s="82" t="n">
        <x:v>0</x:v>
      </x:c>
      <x:c r="K12" s="82" t="n">
        <x:v>0</x:v>
      </x:c>
      <x:c r="L12" s="82" t="n">
        <x:v>2</x:v>
      </x:c>
      <x:c r="M12" s="82" t="str">
        <x:v>2026-08-04</x:v>
      </x:c>
      <x:c r="N12" s="82" t="str">
        <x:v>listing</x:v>
      </x:c>
      <x:c r="O12" s="82" t="n">
        <x:v>20</x:v>
      </x:c>
      <x:c r="P12" s="82" t="n">
        <x:v>15</x:v>
      </x:c>
      <x:c r="Q12" s="82" t="n">
        <x:v>5</x:v>
      </x:c>
      <x:c r="R12" s="82" t="n">
        <x:v>5</x:v>
      </x:c>
      <x:c r="S12" s="70" t="str">
        <x:v>ALERT-001</x:v>
      </x:c>
      <x:c r="T12" s="70" t="str">
        <x:v>当前已恢复/低频，但仍有历史未结事件</x:v>
      </x:c>
      <x:c r="U12" s="83" t="str"/>
      <x:c r="V12" s="83" t="str"/>
      <x:c r="W12" s="70" t="str">
        <x:v>待执行</x:v>
      </x:c>
      <x:c r="X12" s="70" t="str"/>
      <x:c r="Y12" s="70" t="str"/>
      <x:c r="Z12" s="82" t="str">
        <x:v>2026-08-05</x:v>
      </x:c>
    </x:row>
    <x:row r="13" ht="38" customHeight="1">
      <x:c r="A13" s="82" t="n">
        <x:v>12</x:v>
      </x:c>
      <x:c r="B13" s="82" t="str">
        <x:v>perovskite-info</x:v>
      </x:c>
      <x:c r="C13" s="82" t="str">
        <x:v>光伏</x:v>
      </x:c>
      <x:c r="D13" s="82" t="str">
        <x:v>实时</x:v>
      </x:c>
      <x:c r="E13" s="70" t="str">
        <x:v>https://www.perovskite-info.com/perovskite-solar</x:v>
      </x:c>
      <x:c r="F13" s="82" t="str">
        <x:v>健康</x:v>
      </x:c>
      <x:c r="G13" s="82" t="n">
        <x:v>11</x:v>
      </x:c>
      <x:c r="H13" s="82" t="n">
        <x:v>11</x:v>
      </x:c>
      <x:c r="I13" s="82" t="n">
        <x:v>1</x:v>
      </x:c>
      <x:c r="J13" s="82" t="n">
        <x:v>0</x:v>
      </x:c>
      <x:c r="K13" s="82" t="n">
        <x:v>0</x:v>
      </x:c>
      <x:c r="L13" s="82" t="n">
        <x:v>2</x:v>
      </x:c>
      <x:c r="M13" s="82" t="str">
        <x:v>2026-08-04</x:v>
      </x:c>
      <x:c r="N13" s="82" t="str">
        <x:v>listing</x:v>
      </x:c>
      <x:c r="O13" s="82" t="n">
        <x:v>16</x:v>
      </x:c>
      <x:c r="P13" s="82" t="n">
        <x:v>16</x:v>
      </x:c>
      <x:c r="Q13" s="82" t="n">
        <x:v>2</x:v>
      </x:c>
      <x:c r="R13" s="82" t="n">
        <x:v>2</x:v>
      </x:c>
      <x:c r="S13" s="70" t="str">
        <x:v>ALERT-001</x:v>
      </x:c>
      <x:c r="T13" s="70" t="str">
        <x:v>当前已恢复/低频，但仍有历史未结事件</x:v>
      </x:c>
      <x:c r="U13" s="83" t="str"/>
      <x:c r="V13" s="83" t="str"/>
      <x:c r="W13" s="70" t="str">
        <x:v>待执行</x:v>
      </x:c>
      <x:c r="X13" s="70" t="str"/>
      <x:c r="Y13" s="70" t="str"/>
      <x:c r="Z13" s="82" t="str">
        <x:v>2026-08-05</x:v>
      </x:c>
    </x:row>
    <x:row r="14" ht="38" customHeight="1">
      <x:c r="A14" s="82" t="n">
        <x:v>13</x:v>
      </x:c>
      <x:c r="B14" s="82" t="str">
        <x:v>pv magazine</x:v>
      </x:c>
      <x:c r="C14" s="82" t="str">
        <x:v>综合新能源</x:v>
      </x:c>
      <x:c r="D14" s="82" t="str">
        <x:v>实时</x:v>
      </x:c>
      <x:c r="E14" s="70" t="str">
        <x:v>https://www.pv-magazine.com/</x:v>
      </x:c>
      <x:c r="F14" s="82" t="str">
        <x:v>健康</x:v>
      </x:c>
      <x:c r="G14" s="82" t="n">
        <x:v>50</x:v>
      </x:c>
      <x:c r="H14" s="82" t="n">
        <x:v>50</x:v>
      </x:c>
      <x:c r="I14" s="82" t="n">
        <x:v>2</x:v>
      </x:c>
      <x:c r="J14" s="82" t="n">
        <x:v>0</x:v>
      </x:c>
      <x:c r="K14" s="82" t="n">
        <x:v>0</x:v>
      </x:c>
      <x:c r="L14" s="82" t="n">
        <x:v>4</x:v>
      </x:c>
      <x:c r="M14" s="82" t="str">
        <x:v>2026-08-04</x:v>
      </x:c>
      <x:c r="N14" s="82" t="str">
        <x:v>rss</x:v>
      </x:c>
      <x:c r="O14" s="82" t="n">
        <x:v>10</x:v>
      </x:c>
      <x:c r="P14" s="82" t="n">
        <x:v>10</x:v>
      </x:c>
      <x:c r="Q14" s="82" t="n">
        <x:v>10</x:v>
      </x:c>
      <x:c r="R14" s="82" t="n">
        <x:v>10</x:v>
      </x:c>
      <x:c r="S14" s="70" t="str">
        <x:v>ALERT-001</x:v>
      </x:c>
      <x:c r="T14" s="70" t="str">
        <x:v>当前已恢复/低频，但仍有历史未结事件</x:v>
      </x:c>
      <x:c r="U14" s="83" t="str"/>
      <x:c r="V14" s="83" t="str"/>
      <x:c r="W14" s="70" t="str">
        <x:v>待执行</x:v>
      </x:c>
      <x:c r="X14" s="70" t="str"/>
      <x:c r="Y14" s="70" t="str"/>
      <x:c r="Z14" s="82" t="str">
        <x:v>2026-08-05</x:v>
      </x:c>
    </x:row>
    <x:row r="15" ht="186" customHeight="1">
      <x:c r="A15" s="82" t="n">
        <x:v>14</x:v>
      </x:c>
      <x:c r="B15" s="82" t="str">
        <x:v>pv magazine C&amp;I PV</x:v>
      </x:c>
      <x:c r="C15" s="82" t="str">
        <x:v>光伏</x:v>
      </x:c>
      <x:c r="D15" s="82" t="str">
        <x:v>工作日</x:v>
      </x:c>
      <x:c r="E15" s="70" t="str">
        <x:v>https://www.pv-magazine.com/latest-news/</x:v>
      </x:c>
      <x:c r="F15" s="70" t="str">
        <x:v>零产出异常</x:v>
      </x:c>
      <x:c r="G15" s="70" t="n">
        <x:v>0</x:v>
      </x:c>
      <x:c r="H15" s="70" t="n">
        <x:v>0</x:v>
      </x:c>
      <x:c r="I15" s="70" t="n">
        <x:v>5</x:v>
      </x:c>
      <x:c r="J15" s="70" t="n">
        <x:v>0</x:v>
      </x:c>
      <x:c r="K15" s="70" t="n">
        <x:v>2</x:v>
      </x:c>
      <x:c r="L15" s="70" t="n">
        <x:v>8</x:v>
      </x:c>
      <x:c r="M15" s="70" t="str">
        <x:v>2026-08-02</x:v>
      </x:c>
      <x:c r="N15" s="70" t="str">
        <x:v>listing</x:v>
      </x:c>
      <x:c r="O15" s="70" t="n">
        <x:v>9</x:v>
      </x:c>
      <x:c r="P15" s="70" t="n">
        <x:v>5</x:v>
      </x:c>
      <x:c r="Q15" s="70" t="n">
        <x:v>0</x:v>
      </x:c>
      <x:c r="R15" s="70" t="n">
        <x:v>0</x:v>
      </x:c>
      <x:c r="S15" s="70" t="str">
        <x:v>ZERO-007</x:v>
      </x:c>
      <x:c r="T15" s="70" t="str">
        <x:v>实网抓取与历史回补已验证；08-05截至测试时官网无当日文章，继续观察后续日更</x:v>
      </x:c>
      <x:c r="U15" s="83" t="str">
        <x:v>列表入口仍指向旧 commercial-industrial 标签页，且通用选择器会混入页面上半部分内容；未限定 chronological feed，也未跟随底部分页。</x:v>
      </x:c>
      <x:c r="V15" s="83" t="str">
        <x:v>改用 https://www.pv-magazine.com/latest-news/；从 pvmagazine-article-feed 的 __container 边界后读取 __inner；仅提取 post-block__title；跟随 Next 分页；详情正文限定 .pvmagazine-post-content .entry-content。</x:v>
      </x:c>
      <x:c r="W15" s="70" t="str">
        <x:v>已完成</x:v>
      </x:c>
      <x:c r="X15" s="70" t="str">
        <x:v>2026-08-05 实网测试 latest-news 列表、Next 分页及详情正文均正常；正式回补 2026-08-01—08-05，写入 data/articles.jsonl 和逐日 CSV。
2026-08-06 历史数据合并：筛选08-01—08-05发布记录19条，按全库规范化URL去重后新增4条，远端已存在15条；重新生成08-03、08-04发布日对应CSV。</x:v>
      </x:c>
      <x:c r="Y15" s="70" t="str">
        <x:v>验证通过：08-01 idle 0；08-02 idle 0；08-03 13；08-04 6；08-05 0（官网截至测试时无当日文章）。合计新增19篇，URL唯一19，正文可用19，最短1,562字符。
19条候选正文均为full；新增4条、重复跳过15条，未覆盖远端既有记录。08-03为13条、08-04为6条。</x:v>
      </x:c>
      <x:c r="Z15" s="70" t="str">
        <x:v>2026-08-06</x:v>
      </x:c>
    </x:row>
    <x:row r="16" ht="38" customHeight="1">
      <x:c r="A16" s="82" t="n">
        <x:v>15</x:v>
      </x:c>
      <x:c r="B16" s="82" t="str">
        <x:v>Renewables Now</x:v>
      </x:c>
      <x:c r="C16" s="82" t="str">
        <x:v>综合新能源</x:v>
      </x:c>
      <x:c r="D16" s="82" t="str">
        <x:v>工作日</x:v>
      </x:c>
      <x:c r="E16" s="70" t="str">
        <x:v>https://renewablesnow.com/news/</x:v>
      </x:c>
      <x:c r="F16" s="82" t="str">
        <x:v>健康</x:v>
      </x:c>
      <x:c r="G16" s="82" t="n">
        <x:v>87</x:v>
      </x:c>
      <x:c r="H16" s="82" t="n">
        <x:v>87</x:v>
      </x:c>
      <x:c r="I16" s="82" t="n">
        <x:v>0</x:v>
      </x:c>
      <x:c r="J16" s="82" t="n">
        <x:v>0</x:v>
      </x:c>
      <x:c r="K16" s="82" t="n">
        <x:v>0</x:v>
      </x:c>
      <x:c r="L16" s="82" t="n">
        <x:v>1</x:v>
      </x:c>
      <x:c r="M16" s="82" t="str">
        <x:v>2026-08-04</x:v>
      </x:c>
      <x:c r="N16" s="82" t="str">
        <x:v>listing</x:v>
      </x:c>
      <x:c r="O16" s="82" t="n">
        <x:v>28</x:v>
      </x:c>
      <x:c r="P16" s="82" t="n">
        <x:v>28</x:v>
      </x:c>
      <x:c r="Q16" s="82" t="n">
        <x:v>14</x:v>
      </x:c>
      <x:c r="R16" s="82" t="n">
        <x:v>14</x:v>
      </x:c>
      <x:c r="S16" s="70" t="str">
        <x:v>QUAL-003 / ALERT-001</x:v>
      </x:c>
      <x:c r="T16" s="70" t="str">
        <x:v>最新 14/14 篇低于 500 字阈值；当前已恢复/低频，但仍有历史未结事件</x:v>
      </x:c>
      <x:c r="U16" s="83" t="str"/>
      <x:c r="V16" s="83" t="str"/>
      <x:c r="W16" s="70" t="str">
        <x:v>待执行</x:v>
      </x:c>
      <x:c r="X16" s="70" t="str"/>
      <x:c r="Y16" s="70" t="str"/>
      <x:c r="Z16" s="82" t="str">
        <x:v>2026-08-05</x:v>
      </x:c>
    </x:row>
    <x:row r="17" ht="38" customHeight="1">
      <x:c r="A17" s="82" t="n">
        <x:v>16</x:v>
      </x:c>
      <x:c r="B17" s="82" t="str">
        <x:v>scitechdaily</x:v>
      </x:c>
      <x:c r="C17" s="82" t="str">
        <x:v>综合科技</x:v>
      </x:c>
      <x:c r="D17" s="82" t="str">
        <x:v>实时</x:v>
      </x:c>
      <x:c r="E17" s="70" t="str">
        <x:v>https://scitechdaily.com/</x:v>
      </x:c>
      <x:c r="F17" s="82" t="str">
        <x:v>健康</x:v>
      </x:c>
      <x:c r="G17" s="82" t="n">
        <x:v>83</x:v>
      </x:c>
      <x:c r="H17" s="82" t="n">
        <x:v>83</x:v>
      </x:c>
      <x:c r="I17" s="82" t="n">
        <x:v>0</x:v>
      </x:c>
      <x:c r="J17" s="82" t="n">
        <x:v>0</x:v>
      </x:c>
      <x:c r="K17" s="82" t="n">
        <x:v>0</x:v>
      </x:c>
      <x:c r="L17" s="82" t="n">
        <x:v>1</x:v>
      </x:c>
      <x:c r="M17" s="82" t="str">
        <x:v>2026-08-04</x:v>
      </x:c>
      <x:c r="N17" s="82" t="str">
        <x:v>rss</x:v>
      </x:c>
      <x:c r="O17" s="82" t="n">
        <x:v>24</x:v>
      </x:c>
      <x:c r="P17" s="82" t="n">
        <x:v>11</x:v>
      </x:c>
      <x:c r="Q17" s="82" t="n">
        <x:v>11</x:v>
      </x:c>
      <x:c r="R17" s="82" t="n">
        <x:v>11</x:v>
      </x:c>
      <x:c r="S17" s="70" t="str">
        <x:v>ALERT-001</x:v>
      </x:c>
      <x:c r="T17" s="70" t="str">
        <x:v>当前已恢复/低频，但仍有历史未结事件</x:v>
      </x:c>
      <x:c r="U17" s="83" t="str"/>
      <x:c r="V17" s="83" t="str"/>
      <x:c r="W17" s="70" t="str">
        <x:v>待执行</x:v>
      </x:c>
      <x:c r="X17" s="70" t="str"/>
      <x:c r="Y17" s="70" t="str"/>
      <x:c r="Z17" s="82" t="str">
        <x:v>2026-08-05</x:v>
      </x:c>
    </x:row>
    <x:row r="18" ht="38" customHeight="1">
      <x:c r="A18" s="82" t="n">
        <x:v>17</x:v>
      </x:c>
      <x:c r="B18" s="82" t="str">
        <x:v>Supply Chain Digital</x:v>
      </x:c>
      <x:c r="C18" s="82" t="str">
        <x:v>综合媒体</x:v>
      </x:c>
      <x:c r="D18" s="82" t="str">
        <x:v>实时</x:v>
      </x:c>
      <x:c r="E18" s="70" t="str">
        <x:v>https://supplychaindigital.com/news</x:v>
      </x:c>
      <x:c r="F18" s="82" t="str">
        <x:v>健康</x:v>
      </x:c>
      <x:c r="G18" s="82" t="n">
        <x:v>14</x:v>
      </x:c>
      <x:c r="H18" s="82" t="n">
        <x:v>14</x:v>
      </x:c>
      <x:c r="I18" s="82" t="n">
        <x:v>1</x:v>
      </x:c>
      <x:c r="J18" s="82" t="n">
        <x:v>0</x:v>
      </x:c>
      <x:c r="K18" s="82" t="n">
        <x:v>0</x:v>
      </x:c>
      <x:c r="L18" s="82" t="n">
        <x:v>2</x:v>
      </x:c>
      <x:c r="M18" s="82" t="str">
        <x:v>2026-08-04</x:v>
      </x:c>
      <x:c r="N18" s="82" t="str">
        <x:v>listing</x:v>
      </x:c>
      <x:c r="O18" s="82" t="n">
        <x:v>19</x:v>
      </x:c>
      <x:c r="P18" s="82" t="n">
        <x:v>13</x:v>
      </x:c>
      <x:c r="Q18" s="82" t="n">
        <x:v>2</x:v>
      </x:c>
      <x:c r="R18" s="82" t="n">
        <x:v>2</x:v>
      </x:c>
      <x:c r="S18" s="70" t="str">
        <x:v>ALERT-001</x:v>
      </x:c>
      <x:c r="T18" s="70" t="str">
        <x:v>当前已恢复/低频，但仍有历史未结事件</x:v>
      </x:c>
      <x:c r="U18" s="83" t="str"/>
      <x:c r="V18" s="83" t="str"/>
      <x:c r="W18" s="70" t="str">
        <x:v>待执行</x:v>
      </x:c>
      <x:c r="X18" s="70" t="str"/>
      <x:c r="Y18" s="70" t="str"/>
      <x:c r="Z18" s="82" t="str">
        <x:v>2026-08-05</x:v>
      </x:c>
    </x:row>
    <x:row r="19" ht="38" customHeight="1">
      <x:c r="A19" s="82" t="n">
        <x:v>18</x:v>
      </x:c>
      <x:c r="B19" s="82" t="str">
        <x:v>中国核电信息网-国内</x:v>
      </x:c>
      <x:c r="C19" s="82" t="str">
        <x:v>核电</x:v>
      </x:c>
      <x:c r="D19" s="82" t="str">
        <x:v>实时</x:v>
      </x:c>
      <x:c r="E19" s="70" t="str">
        <x:v>https://www.cnnpn.cn/channel/1.html?&amp;page=1</x:v>
      </x:c>
      <x:c r="F19" s="82" t="str">
        <x:v>健康</x:v>
      </x:c>
      <x:c r="G19" s="82" t="n">
        <x:v>62</x:v>
      </x:c>
      <x:c r="H19" s="82" t="n">
        <x:v>62</x:v>
      </x:c>
      <x:c r="I19" s="82" t="n">
        <x:v>0</x:v>
      </x:c>
      <x:c r="J19" s="82" t="n">
        <x:v>0</x:v>
      </x:c>
      <x:c r="K19" s="82" t="n">
        <x:v>0</x:v>
      </x:c>
      <x:c r="L19" s="82" t="n">
        <x:v>3</x:v>
      </x:c>
      <x:c r="M19" s="82" t="str">
        <x:v>2026-08-04</x:v>
      </x:c>
      <x:c r="N19" s="82" t="str">
        <x:v>listing</x:v>
      </x:c>
      <x:c r="O19" s="82" t="n">
        <x:v>24</x:v>
      </x:c>
      <x:c r="P19" s="82" t="n">
        <x:v>23</x:v>
      </x:c>
      <x:c r="Q19" s="82" t="n">
        <x:v>11</x:v>
      </x:c>
      <x:c r="R19" s="82" t="n">
        <x:v>11</x:v>
      </x:c>
      <x:c r="S19" s="70" t="str">
        <x:v>QUAL-003 / ALERT-001</x:v>
      </x:c>
      <x:c r="T19" s="70" t="str">
        <x:v>最新 5/11 篇低于 500 字阈值；当前已恢复/低频，但仍有历史未结事件</x:v>
      </x:c>
      <x:c r="U19" s="83" t="str"/>
      <x:c r="V19" s="83" t="str"/>
      <x:c r="W19" s="70" t="str">
        <x:v>待执行</x:v>
      </x:c>
      <x:c r="X19" s="70" t="str"/>
      <x:c r="Y19" s="70" t="str"/>
      <x:c r="Z19" s="82" t="str">
        <x:v>2026-08-05</x:v>
      </x:c>
    </x:row>
    <x:row r="20" ht="38" customHeight="1">
      <x:c r="A20" s="82" t="n">
        <x:v>19</x:v>
      </x:c>
      <x:c r="B20" s="82" t="str">
        <x:v>中国核电信息网-国际</x:v>
      </x:c>
      <x:c r="C20" s="82" t="str">
        <x:v>核电</x:v>
      </x:c>
      <x:c r="D20" s="82" t="str">
        <x:v>实时</x:v>
      </x:c>
      <x:c r="E20" s="70" t="str">
        <x:v>https://www.cnnpn.cn/channel/4.html</x:v>
      </x:c>
      <x:c r="F20" s="82" t="str">
        <x:v>健康</x:v>
      </x:c>
      <x:c r="G20" s="82" t="n">
        <x:v>127</x:v>
      </x:c>
      <x:c r="H20" s="82" t="n">
        <x:v>127</x:v>
      </x:c>
      <x:c r="I20" s="82" t="n">
        <x:v>0</x:v>
      </x:c>
      <x:c r="J20" s="82" t="n">
        <x:v>0</x:v>
      </x:c>
      <x:c r="K20" s="82" t="n">
        <x:v>0</x:v>
      </x:c>
      <x:c r="L20" s="82" t="n">
        <x:v>2</x:v>
      </x:c>
      <x:c r="M20" s="82" t="str">
        <x:v>2026-08-04</x:v>
      </x:c>
      <x:c r="N20" s="82" t="str">
        <x:v>listing</x:v>
      </x:c>
      <x:c r="O20" s="82" t="n">
        <x:v>23</x:v>
      </x:c>
      <x:c r="P20" s="82" t="n">
        <x:v>20</x:v>
      </x:c>
      <x:c r="Q20" s="82" t="n">
        <x:v>20</x:v>
      </x:c>
      <x:c r="R20" s="82" t="n">
        <x:v>20</x:v>
      </x:c>
      <x:c r="S20" s="70" t="str">
        <x:v>QUAL-003 / ALERT-001</x:v>
      </x:c>
      <x:c r="T20" s="70" t="str">
        <x:v>最新 4/20 篇低于 500 字阈值；当前已恢复/低频，但仍有历史未结事件</x:v>
      </x:c>
      <x:c r="U20" s="83" t="str"/>
      <x:c r="V20" s="83" t="str"/>
      <x:c r="W20" s="70" t="str">
        <x:v>待执行</x:v>
      </x:c>
      <x:c r="X20" s="70" t="str"/>
      <x:c r="Y20" s="70" t="str"/>
      <x:c r="Z20" s="82" t="str">
        <x:v>2026-08-05</x:v>
      </x:c>
    </x:row>
    <x:row r="21" ht="38" customHeight="1">
      <x:c r="A21" s="82" t="n">
        <x:v>20</x:v>
      </x:c>
      <x:c r="B21" s="82" t="str">
        <x:v>中国电力新闻网-新能源</x:v>
      </x:c>
      <x:c r="C21" s="82" t="str">
        <x:v>综合新能源</x:v>
      </x:c>
      <x:c r="D21" s="82" t="str">
        <x:v>工作日</x:v>
      </x:c>
      <x:c r="E21" s="70" t="str">
        <x:v>https://cpnn.com.cn/news/xny/</x:v>
      </x:c>
      <x:c r="F21" s="82" t="str">
        <x:v>健康</x:v>
      </x:c>
      <x:c r="G21" s="82" t="n">
        <x:v>5</x:v>
      </x:c>
      <x:c r="H21" s="82" t="n">
        <x:v>5</x:v>
      </x:c>
      <x:c r="I21" s="82" t="n">
        <x:v>2</x:v>
      </x:c>
      <x:c r="J21" s="82" t="n">
        <x:v>0</x:v>
      </x:c>
      <x:c r="K21" s="82" t="n">
        <x:v>0</x:v>
      </x:c>
      <x:c r="L21" s="82" t="n">
        <x:v>2</x:v>
      </x:c>
      <x:c r="M21" s="82" t="str">
        <x:v>2026-08-04</x:v>
      </x:c>
      <x:c r="N21" s="82" t="str">
        <x:v>listing</x:v>
      </x:c>
      <x:c r="O21" s="82" t="n">
        <x:v>28</x:v>
      </x:c>
      <x:c r="P21" s="82" t="n">
        <x:v>4</x:v>
      </x:c>
      <x:c r="Q21" s="82" t="n">
        <x:v>1</x:v>
      </x:c>
      <x:c r="R21" s="82" t="n">
        <x:v>1</x:v>
      </x:c>
      <x:c r="S21" s="70" t="str">
        <x:v>ALERT-001</x:v>
      </x:c>
      <x:c r="T21" s="70" t="str">
        <x:v>当前已恢复/低频，但仍有历史未结事件</x:v>
      </x:c>
      <x:c r="U21" s="83" t="str"/>
      <x:c r="V21" s="83" t="str"/>
      <x:c r="W21" s="70" t="str">
        <x:v>待执行</x:v>
      </x:c>
      <x:c r="X21" s="70" t="str"/>
      <x:c r="Y21" s="70" t="str"/>
      <x:c r="Z21" s="82" t="str">
        <x:v>2026-08-05</x:v>
      </x:c>
    </x:row>
    <x:row r="22" ht="38" customHeight="1">
      <x:c r="A22" s="82" t="n">
        <x:v>21</x:v>
      </x:c>
      <x:c r="B22" s="82" t="str">
        <x:v>中国电力新闻网-科技</x:v>
      </x:c>
      <x:c r="C22" s="82" t="str">
        <x:v>综合科技</x:v>
      </x:c>
      <x:c r="D22" s="82" t="str">
        <x:v>工作日</x:v>
      </x:c>
      <x:c r="E22" s="70" t="str">
        <x:v>https://cpnn.com.cn/news/kj/</x:v>
      </x:c>
      <x:c r="F22" s="82" t="str">
        <x:v>健康</x:v>
      </x:c>
      <x:c r="G22" s="82" t="n">
        <x:v>4</x:v>
      </x:c>
      <x:c r="H22" s="82" t="n">
        <x:v>4</x:v>
      </x:c>
      <x:c r="I22" s="82" t="n">
        <x:v>2</x:v>
      </x:c>
      <x:c r="J22" s="82" t="n">
        <x:v>0</x:v>
      </x:c>
      <x:c r="K22" s="82" t="n">
        <x:v>0</x:v>
      </x:c>
      <x:c r="L22" s="82" t="n">
        <x:v>4</x:v>
      </x:c>
      <x:c r="M22" s="82" t="str">
        <x:v>2026-08-04</x:v>
      </x:c>
      <x:c r="N22" s="82" t="str">
        <x:v>listing</x:v>
      </x:c>
      <x:c r="O22" s="82" t="n">
        <x:v>28</x:v>
      </x:c>
      <x:c r="P22" s="82" t="n">
        <x:v>4</x:v>
      </x:c>
      <x:c r="Q22" s="82" t="n">
        <x:v>1</x:v>
      </x:c>
      <x:c r="R22" s="82" t="n">
        <x:v>1</x:v>
      </x:c>
      <x:c r="S22" s="70" t="str">
        <x:v>ALERT-001</x:v>
      </x:c>
      <x:c r="T22" s="70" t="str">
        <x:v>当前已恢复/低频，但仍有历史未结事件</x:v>
      </x:c>
      <x:c r="U22" s="83" t="str"/>
      <x:c r="V22" s="83" t="str"/>
      <x:c r="W22" s="70" t="str">
        <x:v>待执行</x:v>
      </x:c>
      <x:c r="X22" s="70" t="str"/>
      <x:c r="Y22" s="70" t="str"/>
      <x:c r="Z22" s="82" t="str">
        <x:v>2026-08-05</x:v>
      </x:c>
    </x:row>
    <x:row r="23" ht="186" customHeight="1">
      <x:c r="A23" s="82" t="n">
        <x:v>22</x:v>
      </x:c>
      <x:c r="B23" s="82" t="str">
        <x:v>中国能源网</x:v>
      </x:c>
      <x:c r="C23" s="82" t="str">
        <x:v>综合新能源</x:v>
      </x:c>
      <x:c r="D23" s="82" t="str">
        <x:v>工作日</x:v>
      </x:c>
      <x:c r="E23" s="70" t="str">
        <x:v>https://www.china5e.com/news/</x:v>
      </x:c>
      <x:c r="F23" s="82" t="str">
        <x:v>零产出异常</x:v>
      </x:c>
      <x:c r="G23" s="82" t="n">
        <x:v>0</x:v>
      </x:c>
      <x:c r="H23" s="82" t="n">
        <x:v>0</x:v>
      </x:c>
      <x:c r="I23" s="82" t="n">
        <x:v>5</x:v>
      </x:c>
      <x:c r="J23" s="82" t="n">
        <x:v>0</x:v>
      </x:c>
      <x:c r="K23" s="82" t="n">
        <x:v>2</x:v>
      </x:c>
      <x:c r="L23" s="82" t="n">
        <x:v>5</x:v>
      </x:c>
      <x:c r="M23" s="82" t="str">
        <x:v>2026-08-02</x:v>
      </x:c>
      <x:c r="N23" s="82" t="str">
        <x:v>listing</x:v>
      </x:c>
      <x:c r="O23" s="82" t="n">
        <x:v>55</x:v>
      </x:c>
      <x:c r="P23" s="82" t="n">
        <x:v>55</x:v>
      </x:c>
      <x:c r="Q23" s="82" t="n">
        <x:v>0</x:v>
      </x:c>
      <x:c r="R23" s="82" t="n">
        <x:v>0</x:v>
      </x:c>
      <x:c r="S23" s="70" t="str">
        <x:v>ZERO-006</x:v>
      </x:c>
      <x:c r="T23" s="70" t="str">
        <x:v>已切换为 RIOnews API/每日 Excel 导入，停止直接网页抓取</x:v>
      </x:c>
      <x:c r="U23" s="83" t="str">
        <x:v>中国能源网页面入口/详情直抓虽发现候选，但日期与正文解析后持续零产出；RIOnews 已通过 API 稳定汇集该站新能源、节能低碳栏目。</x:v>
      </x:c>
      <x:c r="V23" s="83" t="str">
        <x:v>停止直接网页抓取；注册 RIONewsChinaEnergyScraper，从每日 Excel 精确筛选发布媒体前缀“中国能源网_”；GitHub Actions 先用 Secrets 调用 RIO API 并写入 Runner 临时目录，再执行统一入库与 URL 去重。</x:v>
      </x:c>
      <x:c r="W23" s="70" t="str">
        <x:v>已完成</x:v>
      </x:c>
      <x:c r="X23" s="70" t="str">
        <x:v>新增 RIOnews 下载、按日拆分及中国能源网专用导入器；接入 daily-news 与 channel-recovery 工作流；正式回补 2026-07-27—2026-08-04。
2026-08-06 RIOnews历史数据合并：08-03发布24条、08-04发布5条，按规范化URL去重并新增。</x:v>
      </x:c>
      <x:c r="Y23" s="70" t="str">
        <x:v>验证通过：07-28 22篇、08-03 24篇、08-04 5篇；合计51篇，URL唯一51，正文可用50篇，1篇短正文；08-04运行状态 healthy。
新增29条、重复0条；正文184—11,614字，29条均为full。</x:v>
      </x:c>
      <x:c r="Z23" s="70" t="str">
        <x:v>2026-08-06</x:v>
      </x:c>
    </x:row>
    <x:row r="24" ht="38" customHeight="1">
      <x:c r="A24" s="82" t="n">
        <x:v>23</x:v>
      </x:c>
      <x:c r="B24" s="82" t="str">
        <x:v>光伏测试网</x:v>
      </x:c>
      <x:c r="C24" s="82" t="str">
        <x:v>光伏</x:v>
      </x:c>
      <x:c r="D24" s="82" t="str">
        <x:v>实时</x:v>
      </x:c>
      <x:c r="E24" s="70" t="str">
        <x:v>http://www.testpv.com/portal.php?mod=list&amp;catid=20</x:v>
      </x:c>
      <x:c r="F24" s="82" t="str">
        <x:v>零产出异常</x:v>
      </x:c>
      <x:c r="G24" s="82" t="n">
        <x:v>0</x:v>
      </x:c>
      <x:c r="H24" s="82" t="n">
        <x:v>0</x:v>
      </x:c>
      <x:c r="I24" s="82" t="n">
        <x:v>7</x:v>
      </x:c>
      <x:c r="J24" s="82" t="n">
        <x:v>0</x:v>
      </x:c>
      <x:c r="K24" s="82" t="n">
        <x:v>7</x:v>
      </x:c>
      <x:c r="L24" s="82" t="n">
        <x:v>7</x:v>
      </x:c>
      <x:c r="M24" s="82" t="str"/>
      <x:c r="N24" s="82" t="str">
        <x:v>listing</x:v>
      </x:c>
      <x:c r="O24" s="82" t="n">
        <x:v>11</x:v>
      </x:c>
      <x:c r="P24" s="82" t="n">
        <x:v>11</x:v>
      </x:c>
      <x:c r="Q24" s="82" t="n">
        <x:v>0</x:v>
      </x:c>
      <x:c r="R24" s="82" t="n">
        <x:v>0</x:v>
      </x:c>
      <x:c r="S24" s="70" t="str">
        <x:v>ZERO-001</x:v>
      </x:c>
      <x:c r="T24" s="70" t="str">
        <x:v>no target-date articles were collected</x:v>
      </x:c>
      <x:c r="U24" s="83" t="str"/>
      <x:c r="V24" s="83" t="str"/>
      <x:c r="W24" s="70" t="str">
        <x:v>待执行</x:v>
      </x:c>
      <x:c r="X24" s="70" t="str"/>
      <x:c r="Y24" s="70" t="str"/>
      <x:c r="Z24" s="82" t="str">
        <x:v>2026-08-05</x:v>
      </x:c>
    </x:row>
    <x:row r="25" ht="38" customHeight="1">
      <x:c r="A25" s="82" t="n">
        <x:v>24</x:v>
      </x:c>
      <x:c r="B25" s="82" t="str">
        <x:v>北极星储能网</x:v>
      </x:c>
      <x:c r="C25" s="82" t="str">
        <x:v>储能</x:v>
      </x:c>
      <x:c r="D25" s="82" t="str">
        <x:v>实时</x:v>
      </x:c>
      <x:c r="E25" s="70" t="str">
        <x:v>https://chuneng.bjx.com.cn/</x:v>
      </x:c>
      <x:c r="F25" s="82" t="str">
        <x:v>健康</x:v>
      </x:c>
      <x:c r="G25" s="82" t="n">
        <x:v>100</x:v>
      </x:c>
      <x:c r="H25" s="82" t="n">
        <x:v>100</x:v>
      </x:c>
      <x:c r="I25" s="82" t="n">
        <x:v>2</x:v>
      </x:c>
      <x:c r="J25" s="82" t="n">
        <x:v>0</x:v>
      </x:c>
      <x:c r="K25" s="82" t="n">
        <x:v>0</x:v>
      </x:c>
      <x:c r="L25" s="82" t="n">
        <x:v>2</x:v>
      </x:c>
      <x:c r="M25" s="82" t="str">
        <x:v>2026-08-04</x:v>
      </x:c>
      <x:c r="N25" s="82" t="str">
        <x:v>listing</x:v>
      </x:c>
      <x:c r="O25" s="82" t="n">
        <x:v>100</x:v>
      </x:c>
      <x:c r="P25" s="82" t="n">
        <x:v>20</x:v>
      </x:c>
      <x:c r="Q25" s="82" t="n">
        <x:v>20</x:v>
      </x:c>
      <x:c r="R25" s="82" t="n">
        <x:v>20</x:v>
      </x:c>
      <x:c r="S25" s="70" t="str">
        <x:v>QUAL-003 / ALERT-001</x:v>
      </x:c>
      <x:c r="T25" s="70" t="str">
        <x:v>最新 20/20 篇低于 500 字阈值；当前已恢复/低频，但仍有历史未结事件</x:v>
      </x:c>
      <x:c r="U25" s="83" t="str"/>
      <x:c r="V25" s="83" t="str"/>
      <x:c r="W25" s="70" t="str">
        <x:v>待执行</x:v>
      </x:c>
      <x:c r="X25" s="70" t="str"/>
      <x:c r="Y25" s="70" t="str"/>
      <x:c r="Z25" s="82" t="str">
        <x:v>2026-08-05</x:v>
      </x:c>
    </x:row>
    <x:row r="26" ht="38" customHeight="1">
      <x:c r="A26" s="82" t="n">
        <x:v>25</x:v>
      </x:c>
      <x:c r="B26" s="82" t="str">
        <x:v>国际太阳能光伏网</x:v>
      </x:c>
      <x:c r="C26" s="82" t="str">
        <x:v>光伏</x:v>
      </x:c>
      <x:c r="D26" s="82" t="str">
        <x:v>工作日</x:v>
      </x:c>
      <x:c r="E26" s="70" t="str">
        <x:v>https://solar.in-en.com/news/</x:v>
      </x:c>
      <x:c r="F26" s="82" t="str">
        <x:v>健康</x:v>
      </x:c>
      <x:c r="G26" s="82" t="n">
        <x:v>16</x:v>
      </x:c>
      <x:c r="H26" s="82" t="n">
        <x:v>16</x:v>
      </x:c>
      <x:c r="I26" s="82" t="n">
        <x:v>2</x:v>
      </x:c>
      <x:c r="J26" s="82" t="n">
        <x:v>0</x:v>
      </x:c>
      <x:c r="K26" s="82" t="n">
        <x:v>0</x:v>
      </x:c>
      <x:c r="L26" s="82" t="n">
        <x:v>3</x:v>
      </x:c>
      <x:c r="M26" s="82" t="str">
        <x:v>2026-08-04</x:v>
      </x:c>
      <x:c r="N26" s="82" t="str">
        <x:v>listing</x:v>
      </x:c>
      <x:c r="O26" s="82" t="n">
        <x:v>54</x:v>
      </x:c>
      <x:c r="P26" s="82" t="n">
        <x:v>11</x:v>
      </x:c>
      <x:c r="Q26" s="82" t="n">
        <x:v>1</x:v>
      </x:c>
      <x:c r="R26" s="82" t="n">
        <x:v>1</x:v>
      </x:c>
      <x:c r="S26" s="70" t="str">
        <x:v>ALERT-001</x:v>
      </x:c>
      <x:c r="T26" s="70" t="str">
        <x:v>当前已恢复/低频，但仍有历史未结事件</x:v>
      </x:c>
      <x:c r="U26" s="83" t="str"/>
      <x:c r="V26" s="83" t="str"/>
      <x:c r="W26" s="70" t="str">
        <x:v>待执行</x:v>
      </x:c>
      <x:c r="X26" s="70" t="str"/>
      <x:c r="Y26" s="70" t="str"/>
      <x:c r="Z26" s="82" t="str">
        <x:v>2026-08-05</x:v>
      </x:c>
    </x:row>
    <x:row r="27" ht="186" customHeight="1">
      <x:c r="A27" s="82" t="n">
        <x:v>26</x:v>
      </x:c>
      <x:c r="B27" s="82" t="str">
        <x:v>国际能源网</x:v>
      </x:c>
      <x:c r="C27" s="82" t="str">
        <x:v>综合新能源</x:v>
      </x:c>
      <x:c r="D27" s="82" t="str">
        <x:v>实时</x:v>
      </x:c>
      <x:c r="E27" s="70" t="str">
        <x:v>https://www.in-en.com/article/</x:v>
      </x:c>
      <x:c r="F27" s="82" t="str">
        <x:v>零产出异常</x:v>
      </x:c>
      <x:c r="G27" s="82" t="n">
        <x:v>0</x:v>
      </x:c>
      <x:c r="H27" s="82" t="n">
        <x:v>0</x:v>
      </x:c>
      <x:c r="I27" s="82" t="n">
        <x:v>7</x:v>
      </x:c>
      <x:c r="J27" s="82" t="n">
        <x:v>0</x:v>
      </x:c>
      <x:c r="K27" s="82" t="n">
        <x:v>7</x:v>
      </x:c>
      <x:c r="L27" s="82" t="n">
        <x:v>7</x:v>
      </x:c>
      <x:c r="M27" s="82" t="str"/>
      <x:c r="N27" s="82" t="str">
        <x:v>listing</x:v>
      </x:c>
      <x:c r="O27" s="82" t="n">
        <x:v>0</x:v>
      </x:c>
      <x:c r="P27" s="82" t="n">
        <x:v>0</x:v>
      </x:c>
      <x:c r="Q27" s="82" t="n">
        <x:v>0</x:v>
      </x:c>
      <x:c r="R27" s="82" t="n">
        <x:v>0</x:v>
      </x:c>
      <x:c r="S27" s="70" t="str">
        <x:v>ZERO-002</x:v>
      </x:c>
      <x:c r="T27" s="70" t="str">
        <x:v>已切换为 RIOnews API/每日 Excel 导入，停止直接网页抓取</x:v>
      </x:c>
      <x:c r="U27" s="83" t="str">
        <x:v>国际能源网直接网页抓取对页面结构和日期/正文解析依赖高，导致持续零产出；RIOnews 已通过 API 稳定汇集其宏观新闻栏目。</x:v>
      </x:c>
      <x:c r="V27" s="83" t="str">
        <x:v>停止国际能源网直接网页抓取；改用 RIOnews 专用导入器，从每日 Excel 精确筛选发布媒体前缀“国际能源网_”；GitHub Actions 先用 Secrets 调用 RIO API，再执行统一入库与 URL 去重。</x:v>
      </x:c>
      <x:c r="W27" s="70" t="str">
        <x:v>已完成</x:v>
      </x:c>
      <x:c r="X27" s="70" t="str">
        <x:v>新增 国际能源网 RIOnews 媒体前缀映射；复用 API 下载、按日拆分与统一入库流程；正式回补 2026-07-27—2026-08-04。
2026-08-06 RIOnews历史数据合并：08-04发布记录5条按规范化URL去重并新增。</x:v>
      </x:c>
      <x:c r="Y27" s="70" t="str">
        <x:v>验证通过：07-28 6篇、07-29 5篇、07-30 2篇、07-31 6篇、08-04 5篇，合计24篇；URL唯一24，正文可用24篇；08-04运行状态 healthy。
新增5条、重复0条；正文2,808—9,265字，5条均为full。</x:v>
      </x:c>
      <x:c r="Z27" s="70" t="str">
        <x:v>2026-08-06</x:v>
      </x:c>
    </x:row>
    <x:row r="28" ht="186" customHeight="1">
      <x:c r="A28" s="82" t="n">
        <x:v>27</x:v>
      </x:c>
      <x:c r="B28" s="82" t="str">
        <x:v>我爱电车网</x:v>
      </x:c>
      <x:c r="C28" s="82" t="str">
        <x:v>电池</x:v>
      </x:c>
      <x:c r="D28" s="82" t="str">
        <x:v>实时</x:v>
      </x:c>
      <x:c r="E28" s="70" t="str">
        <x:v>https://www.xevcar.com/</x:v>
      </x:c>
      <x:c r="F28" s="82" t="str">
        <x:v>零产出异常</x:v>
      </x:c>
      <x:c r="G28" s="82" t="n">
        <x:v>0</x:v>
      </x:c>
      <x:c r="H28" s="82" t="n">
        <x:v>0</x:v>
      </x:c>
      <x:c r="I28" s="82" t="n">
        <x:v>7</x:v>
      </x:c>
      <x:c r="J28" s="82" t="n">
        <x:v>0</x:v>
      </x:c>
      <x:c r="K28" s="82" t="n">
        <x:v>7</x:v>
      </x:c>
      <x:c r="L28" s="82" t="n">
        <x:v>7</x:v>
      </x:c>
      <x:c r="M28" s="82" t="str"/>
      <x:c r="N28" s="82" t="str">
        <x:v>listing</x:v>
      </x:c>
      <x:c r="O28" s="82" t="n">
        <x:v>17</x:v>
      </x:c>
      <x:c r="P28" s="82" t="n">
        <x:v>17</x:v>
      </x:c>
      <x:c r="Q28" s="82" t="n">
        <x:v>0</x:v>
      </x:c>
      <x:c r="R28" s="82" t="n">
        <x:v>0</x:v>
      </x:c>
      <x:c r="S28" s="70" t="str">
        <x:v>ZERO-003</x:v>
      </x:c>
      <x:c r="T28" s="70" t="str">
        <x:v>已切换为 RIOnews API/每日 Excel 导入，停止直接网页抓取</x:v>
      </x:c>
      <x:c r="U28" s="83" t="str">
        <x:v>我爱电车网直接网页抓取对页面结构和日期/正文解析依赖高，导致持续零产出；RIOnews 已通过 API 稳定汇集其首页新闻。</x:v>
      </x:c>
      <x:c r="V28" s="83" t="str">
        <x:v>停止我爱电车网直接网页抓取；改用 RIOnews 专用导入器，从每日 Excel 精确筛选发布媒体前缀“我爱电车网_”；GitHub Actions 先用 Secrets 调用 RIO API，再执行统一入库与 URL 去重。</x:v>
      </x:c>
      <x:c r="W28" s="70" t="str">
        <x:v>已完成</x:v>
      </x:c>
      <x:c r="X28" s="70" t="str">
        <x:v>新增 我爱电车网 RIOnews 媒体前缀映射；复用 API 下载、按日拆分与统一入库流程；正式回补 2026-07-27—2026-08-04。
2026-08-06 RIOnews历史数据合并：08-03发布1条、08-04发布4条，按规范化URL去重并新增。</x:v>
      </x:c>
      <x:c r="Y28" s="70" t="str">
        <x:v>验证通过：07-28 2篇、08-03 1篇、08-04 4篇，合计7篇；URL唯一7，正文可用7篇；08-04运行状态 healthy。
新增5条、重复0条；正文577—1,101字，5条均为full。</x:v>
      </x:c>
      <x:c r="Z28" s="70" t="str">
        <x:v>2026-08-06</x:v>
      </x:c>
    </x:row>
    <x:row r="29" ht="186" customHeight="1">
      <x:c r="A29" s="82" t="n">
        <x:v>28</x:v>
      </x:c>
      <x:c r="B29" s="82" t="str">
        <x:v>电池网</x:v>
      </x:c>
      <x:c r="C29" s="82" t="str">
        <x:v>电池</x:v>
      </x:c>
      <x:c r="D29" s="82" t="str">
        <x:v>实时</x:v>
      </x:c>
      <x:c r="E29" s="70" t="str">
        <x:v>https://www.itdcw.com/news/</x:v>
      </x:c>
      <x:c r="F29" s="82" t="str">
        <x:v>零产出异常</x:v>
      </x:c>
      <x:c r="G29" s="82" t="n">
        <x:v>1</x:v>
      </x:c>
      <x:c r="H29" s="82" t="n">
        <x:v>1</x:v>
      </x:c>
      <x:c r="I29" s="82" t="n">
        <x:v>6</x:v>
      </x:c>
      <x:c r="J29" s="82" t="n">
        <x:v>0</x:v>
      </x:c>
      <x:c r="K29" s="82" t="n">
        <x:v>6</x:v>
      </x:c>
      <x:c r="L29" s="82" t="n">
        <x:v>6</x:v>
      </x:c>
      <x:c r="M29" s="82" t="str">
        <x:v>2026-07-29</x:v>
      </x:c>
      <x:c r="N29" s="82" t="str">
        <x:v>listing</x:v>
      </x:c>
      <x:c r="O29" s="82" t="n">
        <x:v>30</x:v>
      </x:c>
      <x:c r="P29" s="82" t="n">
        <x:v>10</x:v>
      </x:c>
      <x:c r="Q29" s="82" t="n">
        <x:v>0</x:v>
      </x:c>
      <x:c r="R29" s="82" t="n">
        <x:v>0</x:v>
      </x:c>
      <x:c r="S29" s="70" t="str">
        <x:v>ZERO-004</x:v>
      </x:c>
      <x:c r="T29" s="70" t="str">
        <x:v>已切换为 RIOnews API/每日 Excel 导入，停止直接网页抓取</x:v>
      </x:c>
      <x:c r="U29" s="83" t="str">
        <x:v>电池网直接网页抓取对页面结构和日期/正文解析依赖高，导致持续零产出；RIOnews 已通过 API 稳定汇集其国内、企业等新闻栏目。</x:v>
      </x:c>
      <x:c r="V29" s="83" t="str">
        <x:v>停止电池网直接网页抓取；改用 RIOnews 专用导入器，从每日 Excel 精确筛选发布媒体前缀“电池网_”；GitHub Actions 先用 Secrets 调用 RIO API，再执行统一入库与 URL 去重。</x:v>
      </x:c>
      <x:c r="W29" s="70" t="str">
        <x:v>已完成</x:v>
      </x:c>
      <x:c r="X29" s="70" t="str">
        <x:v>新增 电池网 RIOnews 媒体前缀映射；复用 API 下载、按日拆分与统一入库流程；正式回补 2026-07-27—2026-08-04。
2026-08-06 RIOnews历史数据合并：08-04发布记录4条按规范化URL去重并新增。</x:v>
      </x:c>
      <x:c r="Y29" s="70" t="str">
        <x:v>验证通过：07-27 1篇、08-04 4篇，合计5篇；URL唯一5，正文可用5篇；08-04运行状态 healthy。
新增4条、重复0条；正文1,078—2,665字，4条均为full。</x:v>
      </x:c>
      <x:c r="Z29" s="70" t="str">
        <x:v>2026-08-06</x:v>
      </x:c>
    </x:row>
    <x:row r="30" ht="38" customHeight="1">
      <x:c r="A30" s="82" t="n">
        <x:v>29</x:v>
      </x:c>
      <x:c r="B30" s="82" t="str">
        <x:v>科学网新闻</x:v>
      </x:c>
      <x:c r="C30" s="82" t="str">
        <x:v>综合科技</x:v>
      </x:c>
      <x:c r="D30" s="82" t="str">
        <x:v>实时</x:v>
      </x:c>
      <x:c r="E30" s="70" t="str">
        <x:v>https://news.sciencenet.cn/morenews-V-1.aspx</x:v>
      </x:c>
      <x:c r="F30" s="82" t="str">
        <x:v>健康</x:v>
      </x:c>
      <x:c r="G30" s="82" t="n">
        <x:v>140</x:v>
      </x:c>
      <x:c r="H30" s="82" t="n">
        <x:v>140</x:v>
      </x:c>
      <x:c r="I30" s="82" t="n">
        <x:v>0</x:v>
      </x:c>
      <x:c r="J30" s="82" t="n">
        <x:v>0</x:v>
      </x:c>
      <x:c r="K30" s="82" t="n">
        <x:v>0</x:v>
      </x:c>
      <x:c r="L30" s="82" t="n">
        <x:v>2</x:v>
      </x:c>
      <x:c r="M30" s="82" t="str">
        <x:v>2026-08-04</x:v>
      </x:c>
      <x:c r="N30" s="82" t="str">
        <x:v>rss</x:v>
      </x:c>
      <x:c r="O30" s="82" t="n">
        <x:v>20</x:v>
      </x:c>
      <x:c r="P30" s="82" t="n">
        <x:v>20</x:v>
      </x:c>
      <x:c r="Q30" s="82" t="n">
        <x:v>20</x:v>
      </x:c>
      <x:c r="R30" s="82" t="n">
        <x:v>20</x:v>
      </x:c>
      <x:c r="S30" s="70" t="str">
        <x:v>QUAL-003 / ALERT-001</x:v>
      </x:c>
      <x:c r="T30" s="70" t="str">
        <x:v>最新 2/20 篇低于 500 字阈值；当前已恢复/低频，但仍有历史未结事件</x:v>
      </x:c>
      <x:c r="U30" s="83" t="str"/>
      <x:c r="V30" s="83" t="str"/>
      <x:c r="W30" s="70" t="str">
        <x:v>待执行</x:v>
      </x:c>
      <x:c r="X30" s="70" t="str"/>
      <x:c r="Y30" s="70" t="str"/>
      <x:c r="Z30" s="82" t="str">
        <x:v>2026-08-05</x:v>
      </x:c>
    </x:row>
    <x:row r="31" ht="38" customHeight="1">
      <x:c r="A31" s="82" t="n">
        <x:v>30</x:v>
      </x:c>
      <x:c r="B31" s="82" t="str">
        <x:v>索比光伏</x:v>
      </x:c>
      <x:c r="C31" s="82" t="str">
        <x:v>光伏</x:v>
      </x:c>
      <x:c r="D31" s="82" t="str">
        <x:v>工作日</x:v>
      </x:c>
      <x:c r="E31" s="70" t="str">
        <x:v>https://news.solarbe.com/yaowen</x:v>
      </x:c>
      <x:c r="F31" s="82" t="str">
        <x:v>健康</x:v>
      </x:c>
      <x:c r="G31" s="82" t="n">
        <x:v>21</x:v>
      </x:c>
      <x:c r="H31" s="82" t="n">
        <x:v>21</x:v>
      </x:c>
      <x:c r="I31" s="82" t="n">
        <x:v>0</x:v>
      </x:c>
      <x:c r="J31" s="82" t="n">
        <x:v>0</x:v>
      </x:c>
      <x:c r="K31" s="82" t="n">
        <x:v>0</x:v>
      </x:c>
      <x:c r="L31" s="82" t="n">
        <x:v>1</x:v>
      </x:c>
      <x:c r="M31" s="82" t="str">
        <x:v>2026-08-04</x:v>
      </x:c>
      <x:c r="N31" s="82" t="str">
        <x:v>listing</x:v>
      </x:c>
      <x:c r="O31" s="82" t="n">
        <x:v>15</x:v>
      </x:c>
      <x:c r="P31" s="82" t="n">
        <x:v>3</x:v>
      </x:c>
      <x:c r="Q31" s="82" t="n">
        <x:v>3</x:v>
      </x:c>
      <x:c r="R31" s="82" t="n">
        <x:v>3</x:v>
      </x:c>
      <x:c r="S31" s="70" t="str">
        <x:v>QUAL-003 / ALERT-001</x:v>
      </x:c>
      <x:c r="T31" s="70" t="str">
        <x:v>最新 1/3 篇低于 500 字阈值；当前已恢复/低频，但仍有历史未结事件</x:v>
      </x:c>
      <x:c r="U31" s="83" t="str"/>
      <x:c r="V31" s="83" t="str"/>
      <x:c r="W31" s="70" t="str">
        <x:v>待执行</x:v>
      </x:c>
      <x:c r="X31" s="70" t="str"/>
      <x:c r="Y31" s="70" t="str"/>
      <x:c r="Z31" s="82" t="str">
        <x:v>2026-08-05</x:v>
      </x:c>
    </x:row>
    <x:row r="32" ht="38" customHeight="1">
      <x:c r="A32" s="82" t="n">
        <x:v>31</x:v>
      </x:c>
      <x:c r="B32" s="82" t="str">
        <x:v>Ammonia Energy Association</x:v>
      </x:c>
      <x:c r="C32" s="82" t="str">
        <x:v>氨能</x:v>
      </x:c>
      <x:c r="D32" s="82" t="str">
        <x:v>周度</x:v>
      </x:c>
      <x:c r="E32" s="70" t="str">
        <x:v>https://ammoniaenergy.org/articles/</x:v>
      </x:c>
      <x:c r="F32" s="82" t="str">
        <x:v>健康</x:v>
      </x:c>
      <x:c r="G32" s="82" t="n">
        <x:v>6</x:v>
      </x:c>
      <x:c r="H32" s="82" t="n">
        <x:v>6</x:v>
      </x:c>
      <x:c r="I32" s="82" t="n">
        <x:v>0</x:v>
      </x:c>
      <x:c r="J32" s="82" t="n">
        <x:v>0</x:v>
      </x:c>
      <x:c r="K32" s="82" t="n">
        <x:v>0</x:v>
      </x:c>
      <x:c r="L32" s="82" t="n">
        <x:v>0</x:v>
      </x:c>
      <x:c r="M32" s="82" t="str">
        <x:v>2026-08-04</x:v>
      </x:c>
      <x:c r="N32" s="82" t="str">
        <x:v>rss</x:v>
      </x:c>
      <x:c r="O32" s="82" t="n">
        <x:v>10</x:v>
      </x:c>
      <x:c r="P32" s="82" t="n">
        <x:v>3</x:v>
      </x:c>
      <x:c r="Q32" s="82" t="n">
        <x:v>3</x:v>
      </x:c>
      <x:c r="R32" s="82" t="n">
        <x:v>3</x:v>
      </x:c>
      <x:c r="S32" s="70" t="str"/>
      <x:c r="T32" s="70" t="str"/>
      <x:c r="U32" s="83" t="str"/>
      <x:c r="V32" s="83" t="str"/>
      <x:c r="W32" s="70" t="str">
        <x:v>待执行</x:v>
      </x:c>
      <x:c r="X32" s="70" t="str"/>
      <x:c r="Y32" s="70" t="str"/>
      <x:c r="Z32" s="82" t="str">
        <x:v>2026-08-05</x:v>
      </x:c>
    </x:row>
    <x:row r="33" ht="38" customHeight="1">
      <x:c r="A33" s="82" t="n">
        <x:v>32</x:v>
      </x:c>
      <x:c r="B33" s="82" t="str">
        <x:v>Batteries International</x:v>
      </x:c>
      <x:c r="C33" s="82" t="str">
        <x:v>电池</x:v>
      </x:c>
      <x:c r="D33" s="82" t="str">
        <x:v>实时（新闻资讯）+季度（新闻整合）</x:v>
      </x:c>
      <x:c r="E33" s="70" t="str">
        <x:v>https://www.batteriesinternational.com/</x:v>
      </x:c>
      <x:c r="F33" s="82" t="str">
        <x:v>健康</x:v>
      </x:c>
      <x:c r="G33" s="82" t="n">
        <x:v>6</x:v>
      </x:c>
      <x:c r="H33" s="82" t="n">
        <x:v>6</x:v>
      </x:c>
      <x:c r="I33" s="82" t="n">
        <x:v>0</x:v>
      </x:c>
      <x:c r="J33" s="82" t="n">
        <x:v>0</x:v>
      </x:c>
      <x:c r="K33" s="82" t="n">
        <x:v>0</x:v>
      </x:c>
      <x:c r="L33" s="82" t="n">
        <x:v>0</x:v>
      </x:c>
      <x:c r="M33" s="82" t="str">
        <x:v>2026-08-04</x:v>
      </x:c>
      <x:c r="N33" s="82" t="str">
        <x:v>rss</x:v>
      </x:c>
      <x:c r="O33" s="82" t="n">
        <x:v>10</x:v>
      </x:c>
      <x:c r="P33" s="82" t="n">
        <x:v>1</x:v>
      </x:c>
      <x:c r="Q33" s="82" t="n">
        <x:v>1</x:v>
      </x:c>
      <x:c r="R33" s="82" t="n">
        <x:v>1</x:v>
      </x:c>
      <x:c r="S33" s="70" t="str"/>
      <x:c r="T33" s="70" t="str"/>
      <x:c r="U33" s="83" t="str"/>
      <x:c r="V33" s="83" t="str"/>
      <x:c r="W33" s="70" t="str">
        <x:v>待执行</x:v>
      </x:c>
      <x:c r="X33" s="70" t="str"/>
      <x:c r="Y33" s="70" t="str"/>
      <x:c r="Z33" s="82" t="str">
        <x:v>2026-08-05</x:v>
      </x:c>
    </x:row>
    <x:row r="34" ht="38" customHeight="1">
      <x:c r="A34" s="82" t="n">
        <x:v>33</x:v>
      </x:c>
      <x:c r="B34" s="82" t="str">
        <x:v>Batteries International News</x:v>
      </x:c>
      <x:c r="C34" s="82" t="str">
        <x:v>电池</x:v>
      </x:c>
      <x:c r="D34" s="82" t="str">
        <x:v>周度</x:v>
      </x:c>
      <x:c r="E34" s="70" t="str">
        <x:v>https://www.batteriesinternational.com/news-test/news/</x:v>
      </x:c>
      <x:c r="F34" s="82" t="str">
        <x:v>低频/当日无更新</x:v>
      </x:c>
      <x:c r="G34" s="82" t="n">
        <x:v>0</x:v>
      </x:c>
      <x:c r="H34" s="82" t="n">
        <x:v>0</x:v>
      </x:c>
      <x:c r="I34" s="82" t="n">
        <x:v>0</x:v>
      </x:c>
      <x:c r="J34" s="82" t="n">
        <x:v>0</x:v>
      </x:c>
      <x:c r="K34" s="82" t="n">
        <x:v>0</x:v>
      </x:c>
      <x:c r="L34" s="82" t="n">
        <x:v>0</x:v>
      </x:c>
      <x:c r="M34" s="82" t="str">
        <x:v>2026-08-04</x:v>
      </x:c>
      <x:c r="N34" s="82" t="str">
        <x:v>listing</x:v>
      </x:c>
      <x:c r="O34" s="82" t="n">
        <x:v>61</x:v>
      </x:c>
      <x:c r="P34" s="82" t="n">
        <x:v>12</x:v>
      </x:c>
      <x:c r="Q34" s="82" t="n">
        <x:v>0</x:v>
      </x:c>
      <x:c r="R34" s="82" t="n">
        <x:v>0</x:v>
      </x:c>
      <x:c r="S34" s="70" t="str"/>
      <x:c r="T34" s="70" t="str"/>
      <x:c r="U34" s="83" t="str"/>
      <x:c r="V34" s="83" t="str"/>
      <x:c r="W34" s="70" t="str">
        <x:v>待执行</x:v>
      </x:c>
      <x:c r="X34" s="70" t="str"/>
      <x:c r="Y34" s="70" t="str"/>
      <x:c r="Z34" s="82" t="str">
        <x:v>2026-08-05</x:v>
      </x:c>
    </x:row>
    <x:row r="35" ht="186" customHeight="1">
      <x:c r="A35" s="82" t="n">
        <x:v>34</x:v>
      </x:c>
      <x:c r="B35" s="82" t="str">
        <x:v>Batteries News</x:v>
      </x:c>
      <x:c r="C35" s="82" t="str">
        <x:v>电池</x:v>
      </x:c>
      <x:c r="D35" s="82" t="str">
        <x:v>实时</x:v>
      </x:c>
      <x:c r="E35" s="70" t="str">
        <x:v>https://batteriesnews.com/</x:v>
      </x:c>
      <x:c r="F35" s="82" t="str">
        <x:v>健康</x:v>
      </x:c>
      <x:c r="G35" s="82" t="n">
        <x:v>1</x:v>
      </x:c>
      <x:c r="H35" s="82" t="n">
        <x:v>1</x:v>
      </x:c>
      <x:c r="I35" s="82" t="n">
        <x:v>0</x:v>
      </x:c>
      <x:c r="J35" s="82" t="n">
        <x:v>0</x:v>
      </x:c>
      <x:c r="K35" s="82" t="n">
        <x:v>0</x:v>
      </x:c>
      <x:c r="L35" s="82" t="n">
        <x:v>0</x:v>
      </x:c>
      <x:c r="M35" s="82" t="str">
        <x:v>2026-08-04</x:v>
      </x:c>
      <x:c r="N35" s="82" t="str">
        <x:v>listing</x:v>
      </x:c>
      <x:c r="O35" s="82" t="n">
        <x:v>29</x:v>
      </x:c>
      <x:c r="P35" s="82" t="n">
        <x:v>1</x:v>
      </x:c>
      <x:c r="Q35" s="82" t="n">
        <x:v>1</x:v>
      </x:c>
      <x:c r="R35" s="82" t="n">
        <x:v>1</x:v>
      </x:c>
      <x:c r="S35" s="70" t="str">
        <x:v>ADD-001</x:v>
      </x:c>
      <x:c r="T35" s="70" t="str">
        <x:v>已启用 Latest 板块每日抓取，取消配置跳过</x:v>
      </x:c>
      <x:c r="U35" s="83" t="str">
        <x:v>此前备注为公司无法访问并被配置跳过，且缺少 Latest 模块边界、Load More 分页和详情正文规则。</x:v>
      </x:c>
      <x:c r="V35" s="83" t="str">
        <x:v>限定标题为 Latest 的 gridlove-module，读取 article.gridlove-post，跟随 Load More /page/N/，按日期截断，详情正文限定 .entry-content。</x:v>
      </x:c>
      <x:c r="W35" s="70" t="str">
        <x:v>已完成</x:v>
      </x:c>
      <x:c r="X35" s="70" t="str">
        <x:v>新增 BatteriesNewsScraper；禁用自动 RSS 发现，确保只抓 Latest；新增模块边界、Load More 分页、日期截断、URL 去重和正文边界测试。
2026-08-06 历史数据合并：08-04发布记录1条按规范化URL去重并新增，重新生成对应CSV。</x:v>
      </x:c>
      <x:c r="Y35" s="70" t="str">
        <x:v>实站验证：Latest 首屏29个候选，Load More=/page/2/；08-04命中1篇，正文898字，crawl_mode=listing，状态 healthy。
新增1条、重复0条；正文1,359字且完整性状态为full。</x:v>
      </x:c>
      <x:c r="Z35" s="70" t="str">
        <x:v>2026-08-06</x:v>
      </x:c>
    </x:row>
    <x:row r="36" ht="38" customHeight="1">
      <x:c r="A36" s="82" t="n">
        <x:v>35</x:v>
      </x:c>
      <x:c r="B36" s="82" t="str">
        <x:v>Battery Council International</x:v>
      </x:c>
      <x:c r="C36" s="82" t="str">
        <x:v>电池</x:v>
      </x:c>
      <x:c r="D36" s="82" t="str">
        <x:v>周度</x:v>
      </x:c>
      <x:c r="E36" s="70" t="str">
        <x:v>https://newsletter.smartbrief.com/getLast.action?mode=last&amp;b=BCI</x:v>
      </x:c>
      <x:c r="F36" s="82" t="str">
        <x:v>已配置跳过</x:v>
      </x:c>
      <x:c r="G36" s="82" t="n">
        <x:v>0</x:v>
      </x:c>
      <x:c r="H36" s="82" t="n">
        <x:v>0</x:v>
      </x:c>
      <x:c r="I36" s="82" t="n">
        <x:v>0</x:v>
      </x:c>
      <x:c r="J36" s="82" t="n">
        <x:v>0</x:v>
      </x:c>
      <x:c r="K36" s="82" t="n">
        <x:v>0</x:v>
      </x:c>
      <x:c r="L36" s="82" t="n">
        <x:v>0</x:v>
      </x:c>
      <x:c r="M36" s="82" t="str"/>
      <x:c r="N36" s="82" t="str"/>
      <x:c r="O36" s="82" t="n">
        <x:v>0</x:v>
      </x:c>
      <x:c r="P36" s="82" t="n">
        <x:v>0</x:v>
      </x:c>
      <x:c r="Q36" s="82" t="n">
        <x:v>0</x:v>
      </x:c>
      <x:c r="R36" s="82" t="n">
        <x:v>0</x:v>
      </x:c>
      <x:c r="S36" s="70" t="str">
        <x:v>COVER-001</x:v>
      </x:c>
      <x:c r="T36" s="70" t="str">
        <x:v>需邮箱订阅，官网只显示过去一周收集到的新闻</x:v>
      </x:c>
      <x:c r="U36" s="83" t="str"/>
      <x:c r="V36" s="83" t="str"/>
      <x:c r="W36" s="70" t="str">
        <x:v>待执行</x:v>
      </x:c>
      <x:c r="X36" s="70" t="str"/>
      <x:c r="Y36" s="70" t="str"/>
      <x:c r="Z36" s="82" t="str">
        <x:v>2026-08-05</x:v>
      </x:c>
    </x:row>
    <x:row r="37" ht="38" customHeight="1">
      <x:c r="A37" s="82" t="n">
        <x:v>36</x:v>
      </x:c>
      <x:c r="B37" s="82" t="str">
        <x:v>Battery Tech Online</x:v>
      </x:c>
      <x:c r="C37" s="82" t="str">
        <x:v>电池</x:v>
      </x:c>
      <x:c r="D37" s="82" t="str">
        <x:v>低频</x:v>
      </x:c>
      <x:c r="E37" s="70" t="str">
        <x:v>https://www.batterytechonline.com/</x:v>
      </x:c>
      <x:c r="F37" s="82" t="str">
        <x:v>健康</x:v>
      </x:c>
      <x:c r="G37" s="82" t="n">
        <x:v>8</x:v>
      </x:c>
      <x:c r="H37" s="82" t="n">
        <x:v>8</x:v>
      </x:c>
      <x:c r="I37" s="82" t="n">
        <x:v>0</x:v>
      </x:c>
      <x:c r="J37" s="82" t="n">
        <x:v>0</x:v>
      </x:c>
      <x:c r="K37" s="82" t="n">
        <x:v>0</x:v>
      </x:c>
      <x:c r="L37" s="82" t="n">
        <x:v>0</x:v>
      </x:c>
      <x:c r="M37" s="82" t="str">
        <x:v>2026-08-04</x:v>
      </x:c>
      <x:c r="N37" s="82" t="str">
        <x:v>rss</x:v>
      </x:c>
      <x:c r="O37" s="82" t="n">
        <x:v>50</x:v>
      </x:c>
      <x:c r="P37" s="82" t="n">
        <x:v>3</x:v>
      </x:c>
      <x:c r="Q37" s="82" t="n">
        <x:v>3</x:v>
      </x:c>
      <x:c r="R37" s="82" t="n">
        <x:v>3</x:v>
      </x:c>
      <x:c r="S37" s="70" t="str"/>
      <x:c r="T37" s="70" t="str"/>
      <x:c r="U37" s="83" t="str"/>
      <x:c r="V37" s="83" t="str"/>
      <x:c r="W37" s="70" t="str">
        <x:v>待执行</x:v>
      </x:c>
      <x:c r="X37" s="70" t="str"/>
      <x:c r="Y37" s="70" t="str"/>
      <x:c r="Z37" s="82" t="str">
        <x:v>2026-08-05</x:v>
      </x:c>
    </x:row>
    <x:row r="38" ht="38" customHeight="1">
      <x:c r="A38" s="82" t="n">
        <x:v>37</x:v>
      </x:c>
      <x:c r="B38" s="82" t="str">
        <x:v>BloombergNEF Press</x:v>
      </x:c>
      <x:c r="C38" s="82" t="str">
        <x:v>综合新能源</x:v>
      </x:c>
      <x:c r="D38" s="82" t="str">
        <x:v>月度</x:v>
      </x:c>
      <x:c r="E38" s="70" t="str">
        <x:v>https://about.bnef.com/insights/type/press/</x:v>
      </x:c>
      <x:c r="F38" s="82" t="str">
        <x:v>低频/当日无更新</x:v>
      </x:c>
      <x:c r="G38" s="82" t="n">
        <x:v>0</x:v>
      </x:c>
      <x:c r="H38" s="82" t="n">
        <x:v>0</x:v>
      </x:c>
      <x:c r="I38" s="82" t="n">
        <x:v>0</x:v>
      </x:c>
      <x:c r="J38" s="82" t="n">
        <x:v>0</x:v>
      </x:c>
      <x:c r="K38" s="82" t="n">
        <x:v>0</x:v>
      </x:c>
      <x:c r="L38" s="82" t="n">
        <x:v>0</x:v>
      </x:c>
      <x:c r="M38" s="82" t="str">
        <x:v>2026-08-04</x:v>
      </x:c>
      <x:c r="N38" s="82" t="str">
        <x:v>rss</x:v>
      </x:c>
      <x:c r="O38" s="82" t="n">
        <x:v>10</x:v>
      </x:c>
      <x:c r="P38" s="82" t="n">
        <x:v>0</x:v>
      </x:c>
      <x:c r="Q38" s="82" t="n">
        <x:v>0</x:v>
      </x:c>
      <x:c r="R38" s="82" t="n">
        <x:v>0</x:v>
      </x:c>
      <x:c r="S38" s="70" t="str"/>
      <x:c r="T38" s="70" t="str"/>
      <x:c r="U38" s="83" t="str"/>
      <x:c r="V38" s="83" t="str"/>
      <x:c r="W38" s="70" t="str">
        <x:v>待执行</x:v>
      </x:c>
      <x:c r="X38" s="70" t="str"/>
      <x:c r="Y38" s="70" t="str"/>
      <x:c r="Z38" s="82" t="str">
        <x:v>2026-08-05</x:v>
      </x:c>
    </x:row>
    <x:row r="39" ht="38" customHeight="1">
      <x:c r="A39" s="82" t="n">
        <x:v>38</x:v>
      </x:c>
      <x:c r="B39" s="82" t="str">
        <x:v>ESPLAZA长时储能网</x:v>
      </x:c>
      <x:c r="C39" s="82" t="str">
        <x:v>储能</x:v>
      </x:c>
      <x:c r="D39" s="82" t="str">
        <x:v>实时</x:v>
      </x:c>
      <x:c r="E39" s="70" t="str">
        <x:v>https://www.esplaza.com.cn/news</x:v>
      </x:c>
      <x:c r="F39" s="82" t="str">
        <x:v>已配置跳过</x:v>
      </x:c>
      <x:c r="G39" s="82" t="n">
        <x:v>0</x:v>
      </x:c>
      <x:c r="H39" s="82" t="n">
        <x:v>0</x:v>
      </x:c>
      <x:c r="I39" s="82" t="n">
        <x:v>0</x:v>
      </x:c>
      <x:c r="J39" s="82" t="n">
        <x:v>0</x:v>
      </x:c>
      <x:c r="K39" s="82" t="n">
        <x:v>0</x:v>
      </x:c>
      <x:c r="L39" s="82" t="n">
        <x:v>0</x:v>
      </x:c>
      <x:c r="M39" s="82" t="str"/>
      <x:c r="N39" s="82" t="str"/>
      <x:c r="O39" s="82" t="n">
        <x:v>0</x:v>
      </x:c>
      <x:c r="P39" s="82" t="n">
        <x:v>0</x:v>
      </x:c>
      <x:c r="Q39" s="82" t="n">
        <x:v>0</x:v>
      </x:c>
      <x:c r="R39" s="82" t="n">
        <x:v>0</x:v>
      </x:c>
      <x:c r="S39" s="70" t="str">
        <x:v>COVER-001</x:v>
      </x:c>
      <x:c r="T39" s="70" t="str">
        <x:v>公众号+网站</x:v>
      </x:c>
      <x:c r="U39" s="83" t="str"/>
      <x:c r="V39" s="83" t="str"/>
      <x:c r="W39" s="70" t="str">
        <x:v>待执行</x:v>
      </x:c>
      <x:c r="X39" s="70" t="str"/>
      <x:c r="Y39" s="70" t="str"/>
      <x:c r="Z39" s="82" t="str">
        <x:v>2026-08-05</x:v>
      </x:c>
    </x:row>
    <x:row r="40" ht="38" customHeight="1">
      <x:c r="A40" s="82" t="n">
        <x:v>39</x:v>
      </x:c>
      <x:c r="B40" s="82" t="str">
        <x:v>ESS News</x:v>
      </x:c>
      <x:c r="C40" s="82" t="str">
        <x:v>储能</x:v>
      </x:c>
      <x:c r="D40" s="82" t="str">
        <x:v>工作日</x:v>
      </x:c>
      <x:c r="E40" s="70" t="str">
        <x:v>https://www.ess-news.com/category/projects-applications/</x:v>
      </x:c>
      <x:c r="F40" s="82" t="str">
        <x:v>健康</x:v>
      </x:c>
      <x:c r="G40" s="82" t="n">
        <x:v>22</x:v>
      </x:c>
      <x:c r="H40" s="82" t="n">
        <x:v>22</x:v>
      </x:c>
      <x:c r="I40" s="82" t="n">
        <x:v>0</x:v>
      </x:c>
      <x:c r="J40" s="82" t="n">
        <x:v>0</x:v>
      </x:c>
      <x:c r="K40" s="82" t="n">
        <x:v>0</x:v>
      </x:c>
      <x:c r="L40" s="82" t="n">
        <x:v>0</x:v>
      </x:c>
      <x:c r="M40" s="82" t="str">
        <x:v>2026-08-04</x:v>
      </x:c>
      <x:c r="N40" s="82" t="str">
        <x:v>rss</x:v>
      </x:c>
      <x:c r="O40" s="82" t="n">
        <x:v>10</x:v>
      </x:c>
      <x:c r="P40" s="82" t="n">
        <x:v>5</x:v>
      </x:c>
      <x:c r="Q40" s="82" t="n">
        <x:v>5</x:v>
      </x:c>
      <x:c r="R40" s="82" t="n">
        <x:v>5</x:v>
      </x:c>
      <x:c r="S40" s="70" t="str"/>
      <x:c r="T40" s="70" t="str"/>
      <x:c r="U40" s="83" t="str"/>
      <x:c r="V40" s="83" t="str"/>
      <x:c r="W40" s="70" t="str">
        <x:v>待执行</x:v>
      </x:c>
      <x:c r="X40" s="70" t="str"/>
      <x:c r="Y40" s="70" t="str"/>
      <x:c r="Z40" s="82" t="str">
        <x:v>2026-08-05</x:v>
      </x:c>
    </x:row>
    <x:row r="41" ht="38" customHeight="1">
      <x:c r="A41" s="82" t="n">
        <x:v>40</x:v>
      </x:c>
      <x:c r="B41" s="82" t="str">
        <x:v>Hydrogen Tech World</x:v>
      </x:c>
      <x:c r="C41" s="82" t="str">
        <x:v>氢能</x:v>
      </x:c>
      <x:c r="D41" s="82" t="str">
        <x:v>周度</x:v>
      </x:c>
      <x:c r="E41" s="70" t="str">
        <x:v>https://hydrogentechworld.com/news-category/news</x:v>
      </x:c>
      <x:c r="F41" s="82" t="str">
        <x:v>健康</x:v>
      </x:c>
      <x:c r="G41" s="82" t="n">
        <x:v>2</x:v>
      </x:c>
      <x:c r="H41" s="82" t="n">
        <x:v>2</x:v>
      </x:c>
      <x:c r="I41" s="82" t="n">
        <x:v>0</x:v>
      </x:c>
      <x:c r="J41" s="82" t="n">
        <x:v>0</x:v>
      </x:c>
      <x:c r="K41" s="82" t="n">
        <x:v>0</x:v>
      </x:c>
      <x:c r="L41" s="82" t="n">
        <x:v>0</x:v>
      </x:c>
      <x:c r="M41" s="82" t="str">
        <x:v>2026-08-04</x:v>
      </x:c>
      <x:c r="N41" s="82" t="str">
        <x:v>rss</x:v>
      </x:c>
      <x:c r="O41" s="82" t="n">
        <x:v>10</x:v>
      </x:c>
      <x:c r="P41" s="82" t="n">
        <x:v>1</x:v>
      </x:c>
      <x:c r="Q41" s="82" t="n">
        <x:v>1</x:v>
      </x:c>
      <x:c r="R41" s="82" t="n">
        <x:v>1</x:v>
      </x:c>
      <x:c r="S41" s="70" t="str"/>
      <x:c r="T41" s="70" t="str"/>
      <x:c r="U41" s="83" t="str"/>
      <x:c r="V41" s="83" t="str"/>
      <x:c r="W41" s="70" t="str">
        <x:v>待执行</x:v>
      </x:c>
      <x:c r="X41" s="70" t="str"/>
      <x:c r="Y41" s="70" t="str"/>
      <x:c r="Z41" s="82" t="str">
        <x:v>2026-08-05</x:v>
      </x:c>
    </x:row>
    <x:row r="42" ht="38" customHeight="1">
      <x:c r="A42" s="82" t="n">
        <x:v>41</x:v>
      </x:c>
      <x:c r="B42" s="82" t="str">
        <x:v>MIT Technology Review Climate</x:v>
      </x:c>
      <x:c r="C42" s="82" t="str">
        <x:v>综合新能源</x:v>
      </x:c>
      <x:c r="D42" s="82" t="str">
        <x:v>每周</x:v>
      </x:c>
      <x:c r="E42" s="70" t="str">
        <x:v>https://www.technologyreview.com/topic/climate-change/</x:v>
      </x:c>
      <x:c r="F42" s="82" t="str">
        <x:v>低频/当日无更新</x:v>
      </x:c>
      <x:c r="G42" s="82" t="n">
        <x:v>0</x:v>
      </x:c>
      <x:c r="H42" s="82" t="n">
        <x:v>0</x:v>
      </x:c>
      <x:c r="I42" s="82" t="n">
        <x:v>0</x:v>
      </x:c>
      <x:c r="J42" s="82" t="n">
        <x:v>0</x:v>
      </x:c>
      <x:c r="K42" s="82" t="n">
        <x:v>0</x:v>
      </x:c>
      <x:c r="L42" s="82" t="n">
        <x:v>0</x:v>
      </x:c>
      <x:c r="M42" s="82" t="str">
        <x:v>2026-08-04</x:v>
      </x:c>
      <x:c r="N42" s="82" t="str">
        <x:v>rss</x:v>
      </x:c>
      <x:c r="O42" s="82" t="n">
        <x:v>10</x:v>
      </x:c>
      <x:c r="P42" s="82" t="n">
        <x:v>0</x:v>
      </x:c>
      <x:c r="Q42" s="82" t="n">
        <x:v>0</x:v>
      </x:c>
      <x:c r="R42" s="82" t="n">
        <x:v>0</x:v>
      </x:c>
      <x:c r="S42" s="70" t="str"/>
      <x:c r="T42" s="70" t="str"/>
      <x:c r="U42" s="83" t="str"/>
      <x:c r="V42" s="83" t="str"/>
      <x:c r="W42" s="70" t="str">
        <x:v>待执行</x:v>
      </x:c>
      <x:c r="X42" s="70" t="str"/>
      <x:c r="Y42" s="70" t="str"/>
      <x:c r="Z42" s="82" t="str">
        <x:v>2026-08-05</x:v>
      </x:c>
    </x:row>
    <x:row r="43" ht="38" customHeight="1">
      <x:c r="A43" s="82" t="n">
        <x:v>42</x:v>
      </x:c>
      <x:c r="B43" s="82" t="str">
        <x:v>the information</x:v>
      </x:c>
      <x:c r="C43" s="82" t="str">
        <x:v>综合科技</x:v>
      </x:c>
      <x:c r="D43" s="82" t="str">
        <x:v>实时</x:v>
      </x:c>
      <x:c r="E43" s="70" t="str">
        <x:v>https://www.theinformation.com/</x:v>
      </x:c>
      <x:c r="F43" s="82" t="str">
        <x:v>健康</x:v>
      </x:c>
      <x:c r="G43" s="82" t="n">
        <x:v>29</x:v>
      </x:c>
      <x:c r="H43" s="82" t="n">
        <x:v>29</x:v>
      </x:c>
      <x:c r="I43" s="82" t="n">
        <x:v>0</x:v>
      </x:c>
      <x:c r="J43" s="82" t="n">
        <x:v>0</x:v>
      </x:c>
      <x:c r="K43" s="82" t="n">
        <x:v>0</x:v>
      </x:c>
      <x:c r="L43" s="82" t="n">
        <x:v>0</x:v>
      </x:c>
      <x:c r="M43" s="82" t="str">
        <x:v>2026-08-04</x:v>
      </x:c>
      <x:c r="N43" s="82" t="str">
        <x:v>rss_authenticated</x:v>
      </x:c>
      <x:c r="O43" s="82" t="n">
        <x:v>20</x:v>
      </x:c>
      <x:c r="P43" s="82" t="n">
        <x:v>4</x:v>
      </x:c>
      <x:c r="Q43" s="82" t="n">
        <x:v>4</x:v>
      </x:c>
      <x:c r="R43" s="82" t="n">
        <x:v>4</x:v>
      </x:c>
      <x:c r="S43" s="70" t="str"/>
      <x:c r="T43" s="70" t="str"/>
      <x:c r="U43" s="83" t="str"/>
      <x:c r="V43" s="83" t="str"/>
      <x:c r="W43" s="70" t="str">
        <x:v>待执行</x:v>
      </x:c>
      <x:c r="X43" s="70" t="str"/>
      <x:c r="Y43" s="70" t="str"/>
      <x:c r="Z43" s="82" t="str">
        <x:v>2026-08-05</x:v>
      </x:c>
    </x:row>
    <x:row r="44" ht="38" customHeight="1">
      <x:c r="A44" s="82" t="n">
        <x:v>43</x:v>
      </x:c>
      <x:c r="B44" s="82" t="str">
        <x:v>Volta Foundation</x:v>
      </x:c>
      <x:c r="C44" s="82" t="str">
        <x:v>电池</x:v>
      </x:c>
      <x:c r="D44" s="82" t="str">
        <x:v>周度</x:v>
      </x:c>
      <x:c r="E44" s="70" t="str">
        <x:v>https://volta.foundation/battery-news</x:v>
      </x:c>
      <x:c r="F44" s="82" t="str">
        <x:v>低频/当日无更新</x:v>
      </x:c>
      <x:c r="G44" s="82" t="n">
        <x:v>0</x:v>
      </x:c>
      <x:c r="H44" s="82" t="n">
        <x:v>0</x:v>
      </x:c>
      <x:c r="I44" s="82" t="n">
        <x:v>0</x:v>
      </x:c>
      <x:c r="J44" s="82" t="n">
        <x:v>0</x:v>
      </x:c>
      <x:c r="K44" s="82" t="n">
        <x:v>0</x:v>
      </x:c>
      <x:c r="L44" s="82" t="n">
        <x:v>0</x:v>
      </x:c>
      <x:c r="M44" s="82" t="str">
        <x:v>2026-08-04</x:v>
      </x:c>
      <x:c r="N44" s="82" t="str">
        <x:v>listing</x:v>
      </x:c>
      <x:c r="O44" s="82" t="n">
        <x:v>0</x:v>
      </x:c>
      <x:c r="P44" s="82" t="n">
        <x:v>0</x:v>
      </x:c>
      <x:c r="Q44" s="82" t="n">
        <x:v>0</x:v>
      </x:c>
      <x:c r="R44" s="82" t="n">
        <x:v>0</x:v>
      </x:c>
      <x:c r="S44" s="70" t="str"/>
      <x:c r="T44" s="70" t="str"/>
      <x:c r="U44" s="83" t="str"/>
      <x:c r="V44" s="83" t="str"/>
      <x:c r="W44" s="70" t="str">
        <x:v>待执行</x:v>
      </x:c>
      <x:c r="X44" s="70" t="str"/>
      <x:c r="Y44" s="70" t="str"/>
      <x:c r="Z44" s="82" t="str">
        <x:v>2026-08-05</x:v>
      </x:c>
    </x:row>
    <x:row r="45" ht="38" customHeight="1">
      <x:c r="A45" s="82" t="n">
        <x:v>44</x:v>
      </x:c>
      <x:c r="B45" s="82" t="str">
        <x:v>X-MOL</x:v>
      </x:c>
      <x:c r="C45" s="82" t="str">
        <x:v>综合科技</x:v>
      </x:c>
      <x:c r="D45" s="82" t="str">
        <x:v>实时</x:v>
      </x:c>
      <x:c r="E45" s="70" t="str">
        <x:v>https://www.x-mol.com/news/chem</x:v>
      </x:c>
      <x:c r="F45" s="82" t="str">
        <x:v>已配置跳过</x:v>
      </x:c>
      <x:c r="G45" s="82" t="n">
        <x:v>0</x:v>
      </x:c>
      <x:c r="H45" s="82" t="n">
        <x:v>0</x:v>
      </x:c>
      <x:c r="I45" s="82" t="n">
        <x:v>0</x:v>
      </x:c>
      <x:c r="J45" s="82" t="n">
        <x:v>0</x:v>
      </x:c>
      <x:c r="K45" s="82" t="n">
        <x:v>0</x:v>
      </x:c>
      <x:c r="L45" s="82" t="n">
        <x:v>0</x:v>
      </x:c>
      <x:c r="M45" s="82" t="str"/>
      <x:c r="N45" s="82" t="str"/>
      <x:c r="O45" s="82" t="n">
        <x:v>0</x:v>
      </x:c>
      <x:c r="P45" s="82" t="n">
        <x:v>0</x:v>
      </x:c>
      <x:c r="Q45" s="82" t="n">
        <x:v>0</x:v>
      </x:c>
      <x:c r="R45" s="82" t="n">
        <x:v>0</x:v>
      </x:c>
      <x:c r="S45" s="70" t="str">
        <x:v>COVER-001</x:v>
      </x:c>
      <x:c r="T45" s="70" t="str">
        <x:v>来自 sources II.xlsx；需账号登录；公开化学资讯入口会跳转登录页，未配置授权凭据时默认跳过。</x:v>
      </x:c>
      <x:c r="U45" s="83" t="str"/>
      <x:c r="V45" s="83" t="str"/>
      <x:c r="W45" s="70" t="str">
        <x:v>待执行</x:v>
      </x:c>
      <x:c r="X45" s="70" t="str"/>
      <x:c r="Y45" s="70" t="str"/>
      <x:c r="Z45" s="82" t="str">
        <x:v>2026-08-05</x:v>
      </x:c>
    </x:row>
    <x:row r="46" ht="38" customHeight="1">
      <x:c r="A46" s="82" t="n">
        <x:v>45</x:v>
      </x:c>
      <x:c r="B46" s="82" t="str">
        <x:v>中国新能源网-新闻</x:v>
      </x:c>
      <x:c r="C46" s="82" t="str">
        <x:v>综合新能源</x:v>
      </x:c>
      <x:c r="D46" s="82" t="str">
        <x:v>实时</x:v>
      </x:c>
      <x:c r="E46" s="70" t="str">
        <x:v>http://www.china-nengyuan.com/news/</x:v>
      </x:c>
      <x:c r="F46" s="82" t="str">
        <x:v>已配置跳过</x:v>
      </x:c>
      <x:c r="G46" s="82" t="n">
        <x:v>0</x:v>
      </x:c>
      <x:c r="H46" s="82" t="n">
        <x:v>0</x:v>
      </x:c>
      <x:c r="I46" s="82" t="n">
        <x:v>0</x:v>
      </x:c>
      <x:c r="J46" s="82" t="n">
        <x:v>0</x:v>
      </x:c>
      <x:c r="K46" s="82" t="n">
        <x:v>0</x:v>
      </x:c>
      <x:c r="L46" s="82" t="n">
        <x:v>0</x:v>
      </x:c>
      <x:c r="M46" s="82" t="str"/>
      <x:c r="N46" s="82" t="str"/>
      <x:c r="O46" s="82" t="n">
        <x:v>0</x:v>
      </x:c>
      <x:c r="P46" s="82" t="n">
        <x:v>0</x:v>
      </x:c>
      <x:c r="Q46" s="82" t="n">
        <x:v>0</x:v>
      </x:c>
      <x:c r="R46" s="82" t="n">
        <x:v>0</x:v>
      </x:c>
      <x:c r="S46" s="70" t="str">
        <x:v>COVER-001</x:v>
      </x:c>
      <x:c r="T46" s="70" t="str">
        <x:v>无法访问：原 china-nengyuan.com 新闻栏目已永久返回 404；在确认同一站点的新等价入口前停用。</x:v>
      </x:c>
      <x:c r="U46" s="83" t="str"/>
      <x:c r="V46" s="83" t="str"/>
      <x:c r="W46" s="70" t="str">
        <x:v>待执行</x:v>
      </x:c>
      <x:c r="X46" s="70" t="str"/>
      <x:c r="Y46" s="70" t="str"/>
      <x:c r="Z46" s="82" t="str">
        <x:v>2026-08-05</x:v>
      </x:c>
    </x:row>
    <x:row r="47" ht="38" customHeight="1">
      <x:c r="A47" s="82" t="n">
        <x:v>46</x:v>
      </x:c>
      <x:c r="B47" s="82" t="str">
        <x:v>中粉固态电池</x:v>
      </x:c>
      <x:c r="C47" s="82" t="str">
        <x:v>电池</x:v>
      </x:c>
      <x:c r="D47" s="82" t="str">
        <x:v>实时</x:v>
      </x:c>
      <x:c r="E47" s="70" t="str"/>
      <x:c r="F47" s="82" t="str">
        <x:v>已配置跳过</x:v>
      </x:c>
      <x:c r="G47" s="82" t="n">
        <x:v>0</x:v>
      </x:c>
      <x:c r="H47" s="82" t="n">
        <x:v>0</x:v>
      </x:c>
      <x:c r="I47" s="82" t="n">
        <x:v>0</x:v>
      </x:c>
      <x:c r="J47" s="82" t="n">
        <x:v>0</x:v>
      </x:c>
      <x:c r="K47" s="82" t="n">
        <x:v>0</x:v>
      </x:c>
      <x:c r="L47" s="82" t="n">
        <x:v>0</x:v>
      </x:c>
      <x:c r="M47" s="82" t="str"/>
      <x:c r="N47" s="82" t="str"/>
      <x:c r="O47" s="82" t="n">
        <x:v>0</x:v>
      </x:c>
      <x:c r="P47" s="82" t="n">
        <x:v>0</x:v>
      </x:c>
      <x:c r="Q47" s="82" t="n">
        <x:v>0</x:v>
      </x:c>
      <x:c r="R47" s="82" t="n">
        <x:v>0</x:v>
      </x:c>
      <x:c r="S47" s="70" t="str">
        <x:v>COVER-001</x:v>
      </x:c>
      <x:c r="T47" s="70" t="str">
        <x:v>公众号</x:v>
      </x:c>
      <x:c r="U47" s="83" t="str"/>
      <x:c r="V47" s="83" t="str"/>
      <x:c r="W47" s="70" t="str">
        <x:v>待执行</x:v>
      </x:c>
      <x:c r="X47" s="70" t="str"/>
      <x:c r="Y47" s="70" t="str"/>
      <x:c r="Z47" s="82" t="str">
        <x:v>2026-08-05</x:v>
      </x:c>
    </x:row>
    <x:row r="48" ht="38" customHeight="1">
      <x:c r="A48" s="82" t="n">
        <x:v>47</x:v>
      </x:c>
      <x:c r="B48" s="82" t="str">
        <x:v>全球风电网</x:v>
      </x:c>
      <x:c r="C48" s="82" t="str">
        <x:v>风能</x:v>
      </x:c>
      <x:c r="D48" s="82" t="str">
        <x:v>实时</x:v>
      </x:c>
      <x:c r="E48" s="70" t="str">
        <x:v>http://wp.china-nengyuan.com/tech/</x:v>
      </x:c>
      <x:c r="F48" s="82" t="str">
        <x:v>已配置跳过</x:v>
      </x:c>
      <x:c r="G48" s="82" t="n">
        <x:v>0</x:v>
      </x:c>
      <x:c r="H48" s="82" t="n">
        <x:v>0</x:v>
      </x:c>
      <x:c r="I48" s="82" t="n">
        <x:v>0</x:v>
      </x:c>
      <x:c r="J48" s="82" t="n">
        <x:v>0</x:v>
      </x:c>
      <x:c r="K48" s="82" t="n">
        <x:v>0</x:v>
      </x:c>
      <x:c r="L48" s="82" t="n">
        <x:v>0</x:v>
      </x:c>
      <x:c r="M48" s="82" t="str"/>
      <x:c r="N48" s="82" t="str"/>
      <x:c r="O48" s="82" t="n">
        <x:v>0</x:v>
      </x:c>
      <x:c r="P48" s="82" t="n">
        <x:v>0</x:v>
      </x:c>
      <x:c r="Q48" s="82" t="n">
        <x:v>0</x:v>
      </x:c>
      <x:c r="R48" s="82" t="n">
        <x:v>0</x:v>
      </x:c>
      <x:c r="S48" s="70" t="str">
        <x:v>COVER-001</x:v>
      </x:c>
      <x:c r="T48" s="70" t="str">
        <x:v>无法访问：列表页仍可打开，但原 china-nengyuan.com 详情页已失效；在确认同站等价入口前停用。</x:v>
      </x:c>
      <x:c r="U48" s="83" t="str"/>
      <x:c r="V48" s="83" t="str"/>
      <x:c r="W48" s="70" t="str">
        <x:v>待执行</x:v>
      </x:c>
      <x:c r="X48" s="70" t="str"/>
      <x:c r="Y48" s="70" t="str"/>
      <x:c r="Z48" s="82" t="str">
        <x:v>2026-08-05</x:v>
      </x:c>
    </x:row>
    <x:row r="49" ht="38" customHeight="1">
      <x:c r="A49" s="82" t="n">
        <x:v>48</x:v>
      </x:c>
      <x:c r="B49" s="82" t="str">
        <x:v>地热能在线</x:v>
      </x:c>
      <x:c r="C49" s="82" t="str">
        <x:v>热能</x:v>
      </x:c>
      <x:c r="D49" s="82" t="str">
        <x:v>实时</x:v>
      </x:c>
      <x:c r="E49" s="70" t="str"/>
      <x:c r="F49" s="82" t="str">
        <x:v>已配置跳过</x:v>
      </x:c>
      <x:c r="G49" s="82" t="n">
        <x:v>0</x:v>
      </x:c>
      <x:c r="H49" s="82" t="n">
        <x:v>0</x:v>
      </x:c>
      <x:c r="I49" s="82" t="n">
        <x:v>0</x:v>
      </x:c>
      <x:c r="J49" s="82" t="n">
        <x:v>0</x:v>
      </x:c>
      <x:c r="K49" s="82" t="n">
        <x:v>0</x:v>
      </x:c>
      <x:c r="L49" s="82" t="n">
        <x:v>0</x:v>
      </x:c>
      <x:c r="M49" s="82" t="str"/>
      <x:c r="N49" s="82" t="str"/>
      <x:c r="O49" s="82" t="n">
        <x:v>0</x:v>
      </x:c>
      <x:c r="P49" s="82" t="n">
        <x:v>0</x:v>
      </x:c>
      <x:c r="Q49" s="82" t="n">
        <x:v>0</x:v>
      </x:c>
      <x:c r="R49" s="82" t="n">
        <x:v>0</x:v>
      </x:c>
      <x:c r="S49" s="70" t="str">
        <x:v>COVER-001</x:v>
      </x:c>
      <x:c r="T49" s="70" t="str">
        <x:v>公众号</x:v>
      </x:c>
      <x:c r="U49" s="83" t="str"/>
      <x:c r="V49" s="83" t="str"/>
      <x:c r="W49" s="70" t="str">
        <x:v>待执行</x:v>
      </x:c>
      <x:c r="X49" s="70" t="str"/>
      <x:c r="Y49" s="70" t="str"/>
      <x:c r="Z49" s="82" t="str">
        <x:v>2026-08-05</x:v>
      </x:c>
    </x:row>
    <x:row r="50" ht="38" customHeight="1">
      <x:c r="A50" s="82" t="n">
        <x:v>49</x:v>
      </x:c>
      <x:c r="B50" s="82" t="str">
        <x:v>新华网科技</x:v>
      </x:c>
      <x:c r="C50" s="82" t="str">
        <x:v>综合科技</x:v>
      </x:c>
      <x:c r="D50" s="82" t="str">
        <x:v>工作日</x:v>
      </x:c>
      <x:c r="E50" s="70" t="str">
        <x:v>https://www.news.cn/tech/index.html</x:v>
      </x:c>
      <x:c r="F50" s="82" t="str">
        <x:v>健康</x:v>
      </x:c>
      <x:c r="G50" s="82" t="n">
        <x:v>36</x:v>
      </x:c>
      <x:c r="H50" s="82" t="n">
        <x:v>36</x:v>
      </x:c>
      <x:c r="I50" s="82" t="n">
        <x:v>0</x:v>
      </x:c>
      <x:c r="J50" s="82" t="n">
        <x:v>0</x:v>
      </x:c>
      <x:c r="K50" s="82" t="n">
        <x:v>0</x:v>
      </x:c>
      <x:c r="L50" s="82" t="n">
        <x:v>0</x:v>
      </x:c>
      <x:c r="M50" s="82" t="str">
        <x:v>2026-08-04</x:v>
      </x:c>
      <x:c r="N50" s="82" t="str">
        <x:v>listing</x:v>
      </x:c>
      <x:c r="O50" s="82" t="n">
        <x:v>24</x:v>
      </x:c>
      <x:c r="P50" s="82" t="n">
        <x:v>13</x:v>
      </x:c>
      <x:c r="Q50" s="82" t="n">
        <x:v>13</x:v>
      </x:c>
      <x:c r="R50" s="82" t="n">
        <x:v>13</x:v>
      </x:c>
      <x:c r="S50" s="70" t="str">
        <x:v>QUAL-003</x:v>
      </x:c>
      <x:c r="T50" s="70" t="str">
        <x:v>最新 5/13 篇低于 500 字阈值</x:v>
      </x:c>
      <x:c r="U50" s="83" t="str"/>
      <x:c r="V50" s="83" t="str"/>
      <x:c r="W50" s="70" t="str">
        <x:v>待执行</x:v>
      </x:c>
      <x:c r="X50" s="70" t="str"/>
      <x:c r="Y50" s="70" t="str"/>
      <x:c r="Z50" s="82" t="str">
        <x:v>2026-08-05</x:v>
      </x:c>
    </x:row>
    <x:row r="51" ht="38" customHeight="1">
      <x:c r="A51" s="82" t="n">
        <x:v>50</x:v>
      </x:c>
      <x:c r="B51" s="82" t="str">
        <x:v>新能源网</x:v>
      </x:c>
      <x:c r="C51" s="82" t="str">
        <x:v>综合新能源</x:v>
      </x:c>
      <x:c r="D51" s="82" t="str">
        <x:v>实时</x:v>
      </x:c>
      <x:c r="E51" s="70" t="str">
        <x:v>http://www.china-nengyuan.com/tech/tech_list_10.html</x:v>
      </x:c>
      <x:c r="F51" s="82" t="str">
        <x:v>已配置跳过</x:v>
      </x:c>
      <x:c r="G51" s="82" t="n">
        <x:v>0</x:v>
      </x:c>
      <x:c r="H51" s="82" t="n">
        <x:v>0</x:v>
      </x:c>
      <x:c r="I51" s="82" t="n">
        <x:v>0</x:v>
      </x:c>
      <x:c r="J51" s="82" t="n">
        <x:v>0</x:v>
      </x:c>
      <x:c r="K51" s="82" t="n">
        <x:v>0</x:v>
      </x:c>
      <x:c r="L51" s="82" t="n">
        <x:v>0</x:v>
      </x:c>
      <x:c r="M51" s="82" t="str"/>
      <x:c r="N51" s="82" t="str"/>
      <x:c r="O51" s="82" t="n">
        <x:v>0</x:v>
      </x:c>
      <x:c r="P51" s="82" t="n">
        <x:v>0</x:v>
      </x:c>
      <x:c r="Q51" s="82" t="n">
        <x:v>0</x:v>
      </x:c>
      <x:c r="R51" s="82" t="n">
        <x:v>0</x:v>
      </x:c>
      <x:c r="S51" s="70" t="str">
        <x:v>COVER-001</x:v>
      </x:c>
      <x:c r="T51" s="70" t="str">
        <x:v>无法访问：原 china-nengyuan.com 技术栏目已永久返回 404；在确认同一站点的新等价入口前停用。</x:v>
      </x:c>
      <x:c r="U51" s="83" t="str"/>
      <x:c r="V51" s="83" t="str"/>
      <x:c r="W51" s="70" t="str">
        <x:v>待执行</x:v>
      </x:c>
      <x:c r="X51" s="70" t="str"/>
      <x:c r="Y51" s="70" t="str"/>
      <x:c r="Z51" s="82" t="str">
        <x:v>2026-08-05</x:v>
      </x:c>
    </x:row>
    <x:row r="52" ht="38" customHeight="1">
      <x:c r="A52" s="82" t="n">
        <x:v>51</x:v>
      </x:c>
      <x:c r="B52" s="82" t="str">
        <x:v>索比光伏-综合新闻</x:v>
      </x:c>
      <x:c r="C52" s="82" t="str">
        <x:v>光伏</x:v>
      </x:c>
      <x:c r="D52" s="82" t="str">
        <x:v>工作日</x:v>
      </x:c>
      <x:c r="E52" s="70" t="str">
        <x:v>https://news.solarbe.com/</x:v>
      </x:c>
      <x:c r="F52" s="82" t="str">
        <x:v>健康</x:v>
      </x:c>
      <x:c r="G52" s="82" t="n">
        <x:v>87</x:v>
      </x:c>
      <x:c r="H52" s="82" t="n">
        <x:v>87</x:v>
      </x:c>
      <x:c r="I52" s="82" t="n">
        <x:v>0</x:v>
      </x:c>
      <x:c r="J52" s="82" t="n">
        <x:v>0</x:v>
      </x:c>
      <x:c r="K52" s="82" t="n">
        <x:v>0</x:v>
      </x:c>
      <x:c r="L52" s="82" t="n">
        <x:v>0</x:v>
      </x:c>
      <x:c r="M52" s="82" t="str">
        <x:v>2026-08-04</x:v>
      </x:c>
      <x:c r="N52" s="82" t="str">
        <x:v>listing</x:v>
      </x:c>
      <x:c r="O52" s="82" t="n">
        <x:v>100</x:v>
      </x:c>
      <x:c r="P52" s="82" t="n">
        <x:v>20</x:v>
      </x:c>
      <x:c r="Q52" s="82" t="n">
        <x:v>19</x:v>
      </x:c>
      <x:c r="R52" s="82" t="n">
        <x:v>19</x:v>
      </x:c>
      <x:c r="S52" s="70" t="str">
        <x:v>QUAL-003</x:v>
      </x:c>
      <x:c r="T52" s="70" t="str">
        <x:v>最新 6/19 篇低于 500 字阈值</x:v>
      </x:c>
      <x:c r="U52" s="83" t="str"/>
      <x:c r="V52" s="83" t="str"/>
      <x:c r="W52" s="70" t="str">
        <x:v>待执行</x:v>
      </x:c>
      <x:c r="X52" s="70" t="str"/>
      <x:c r="Y52" s="70" t="str"/>
      <x:c r="Z52" s="82" t="str">
        <x:v>2026-08-05</x:v>
      </x:c>
    </x:row>
    <x:row r="53" ht="38" customHeight="1">
      <x:c r="A53" s="82" t="n">
        <x:v>52</x:v>
      </x:c>
      <x:c r="B53" s="82" t="str">
        <x:v>网易知光谷</x:v>
      </x:c>
      <x:c r="C53" s="82" t="str">
        <x:v>光伏</x:v>
      </x:c>
      <x:c r="D53" s="82" t="str">
        <x:v>低频</x:v>
      </x:c>
      <x:c r="E53" s="70" t="str">
        <x:v>https://m.163.com/news/sub/T1632726077385.html</x:v>
      </x:c>
      <x:c r="F53" s="82" t="str">
        <x:v>低频/当日无更新</x:v>
      </x:c>
      <x:c r="G53" s="82" t="n">
        <x:v>0</x:v>
      </x:c>
      <x:c r="H53" s="82" t="n">
        <x:v>0</x:v>
      </x:c>
      <x:c r="I53" s="82" t="n">
        <x:v>0</x:v>
      </x:c>
      <x:c r="J53" s="82" t="n">
        <x:v>0</x:v>
      </x:c>
      <x:c r="K53" s="82" t="n">
        <x:v>0</x:v>
      </x:c>
      <x:c r="L53" s="82" t="n">
        <x:v>0</x:v>
      </x:c>
      <x:c r="M53" s="82" t="str">
        <x:v>2026-08-04</x:v>
      </x:c>
      <x:c r="N53" s="82" t="str">
        <x:v>listing</x:v>
      </x:c>
      <x:c r="O53" s="82" t="n">
        <x:v>20</x:v>
      </x:c>
      <x:c r="P53" s="82" t="n">
        <x:v>10</x:v>
      </x:c>
      <x:c r="Q53" s="82" t="n">
        <x:v>0</x:v>
      </x:c>
      <x:c r="R53" s="82" t="n">
        <x:v>0</x:v>
      </x:c>
      <x:c r="S53" s="70" t="str"/>
      <x:c r="T53" s="70" t="str"/>
      <x:c r="U53" s="83" t="str"/>
      <x:c r="V53" s="83" t="str"/>
      <x:c r="W53" s="70" t="str">
        <x:v>待执行</x:v>
      </x:c>
      <x:c r="X53" s="70" t="str"/>
      <x:c r="Y53" s="70" t="str"/>
      <x:c r="Z53" s="82" t="str">
        <x:v>2026-08-05</x:v>
      </x:c>
    </x:row>
    <x:row r="54" ht="38" customHeight="1">
      <x:c r="A54" s="82" t="n">
        <x:v>53</x:v>
      </x:c>
      <x:c r="B54" s="82" t="str">
        <x:v>能源学人</x:v>
      </x:c>
      <x:c r="C54" s="82" t="str">
        <x:v>电池</x:v>
      </x:c>
      <x:c r="D54" s="82" t="str">
        <x:v>实时</x:v>
      </x:c>
      <x:c r="E54" s="70" t="str"/>
      <x:c r="F54" s="82" t="str">
        <x:v>已配置跳过</x:v>
      </x:c>
      <x:c r="G54" s="82" t="n">
        <x:v>0</x:v>
      </x:c>
      <x:c r="H54" s="82" t="n">
        <x:v>0</x:v>
      </x:c>
      <x:c r="I54" s="82" t="n">
        <x:v>0</x:v>
      </x:c>
      <x:c r="J54" s="82" t="n">
        <x:v>0</x:v>
      </x:c>
      <x:c r="K54" s="82" t="n">
        <x:v>0</x:v>
      </x:c>
      <x:c r="L54" s="82" t="n">
        <x:v>0</x:v>
      </x:c>
      <x:c r="M54" s="82" t="str"/>
      <x:c r="N54" s="82" t="str"/>
      <x:c r="O54" s="82" t="n">
        <x:v>0</x:v>
      </x:c>
      <x:c r="P54" s="82" t="n">
        <x:v>0</x:v>
      </x:c>
      <x:c r="Q54" s="82" t="n">
        <x:v>0</x:v>
      </x:c>
      <x:c r="R54" s="82" t="n">
        <x:v>0</x:v>
      </x:c>
      <x:c r="S54" s="70" t="str">
        <x:v>COVER-001</x:v>
      </x:c>
      <x:c r="T54" s="70" t="str">
        <x:v>公众号</x:v>
      </x:c>
      <x:c r="U54" s="83" t="str"/>
      <x:c r="V54" s="83" t="str"/>
      <x:c r="W54" s="70" t="str">
        <x:v>待执行</x:v>
      </x:c>
      <x:c r="X54" s="70" t="str"/>
      <x:c r="Y54" s="70" t="str"/>
      <x:c r="Z54" s="82" t="str">
        <x:v>2026-08-05</x:v>
      </x:c>
    </x:row>
    <x:row r="55" ht="38" customHeight="1">
      <x:c r="A55" s="82" t="n">
        <x:v>54</x:v>
      </x:c>
      <x:c r="B55" s="82" t="str">
        <x:v>起点钠电</x:v>
      </x:c>
      <x:c r="C55" s="82" t="str">
        <x:v>电池</x:v>
      </x:c>
      <x:c r="D55" s="82" t="str">
        <x:v>实时</x:v>
      </x:c>
      <x:c r="E55" s="70" t="str"/>
      <x:c r="F55" s="82" t="str">
        <x:v>已配置跳过</x:v>
      </x:c>
      <x:c r="G55" s="82" t="n">
        <x:v>0</x:v>
      </x:c>
      <x:c r="H55" s="82" t="n">
        <x:v>0</x:v>
      </x:c>
      <x:c r="I55" s="82" t="n">
        <x:v>0</x:v>
      </x:c>
      <x:c r="J55" s="82" t="n">
        <x:v>0</x:v>
      </x:c>
      <x:c r="K55" s="82" t="n">
        <x:v>0</x:v>
      </x:c>
      <x:c r="L55" s="82" t="n">
        <x:v>0</x:v>
      </x:c>
      <x:c r="M55" s="82" t="str"/>
      <x:c r="N55" s="82" t="str"/>
      <x:c r="O55" s="82" t="n">
        <x:v>0</x:v>
      </x:c>
      <x:c r="P55" s="82" t="n">
        <x:v>0</x:v>
      </x:c>
      <x:c r="Q55" s="82" t="n">
        <x:v>0</x:v>
      </x:c>
      <x:c r="R55" s="82" t="n">
        <x:v>0</x:v>
      </x:c>
      <x:c r="S55" s="70" t="str">
        <x:v>COVER-001</x:v>
      </x:c>
      <x:c r="T55" s="70" t="str">
        <x:v>公众号</x:v>
      </x:c>
      <x:c r="U55" s="83" t="str"/>
      <x:c r="V55" s="83" t="str"/>
      <x:c r="W55" s="70" t="str">
        <x:v>待执行</x:v>
      </x:c>
      <x:c r="X55" s="70" t="str"/>
      <x:c r="Y55" s="70" t="str"/>
      <x:c r="Z55" s="82" t="str">
        <x:v>2026-08-05</x:v>
      </x:c>
    </x:row>
    <x:row r="56" ht="38" customHeight="1">
      <x:c r="A56" s="82" t="n">
        <x:v>55</x:v>
      </x:c>
      <x:c r="B56" s="82" t="str">
        <x:v>钙钛矿学习xx平台</x:v>
      </x:c>
      <x:c r="C56" s="82" t="str">
        <x:v>光伏</x:v>
      </x:c>
      <x:c r="D56" s="82" t="str">
        <x:v>实时</x:v>
      </x:c>
      <x:c r="E56" s="70" t="str"/>
      <x:c r="F56" s="82" t="str">
        <x:v>已配置跳过</x:v>
      </x:c>
      <x:c r="G56" s="82" t="n">
        <x:v>0</x:v>
      </x:c>
      <x:c r="H56" s="82" t="n">
        <x:v>0</x:v>
      </x:c>
      <x:c r="I56" s="82" t="n">
        <x:v>0</x:v>
      </x:c>
      <x:c r="J56" s="82" t="n">
        <x:v>0</x:v>
      </x:c>
      <x:c r="K56" s="82" t="n">
        <x:v>0</x:v>
      </x:c>
      <x:c r="L56" s="82" t="n">
        <x:v>0</x:v>
      </x:c>
      <x:c r="M56" s="82" t="str"/>
      <x:c r="N56" s="82" t="str"/>
      <x:c r="O56" s="82" t="n">
        <x:v>0</x:v>
      </x:c>
      <x:c r="P56" s="82" t="n">
        <x:v>0</x:v>
      </x:c>
      <x:c r="Q56" s="82" t="n">
        <x:v>0</x:v>
      </x:c>
      <x:c r="R56" s="82" t="n">
        <x:v>0</x:v>
      </x:c>
      <x:c r="S56" s="70" t="str">
        <x:v>COVER-001</x:v>
      </x:c>
      <x:c r="T56" s="70" t="str">
        <x:v>公众号</x:v>
      </x:c>
      <x:c r="U56" s="83" t="str"/>
      <x:c r="V56" s="83" t="str"/>
      <x:c r="W56" s="70" t="str">
        <x:v>待执行</x:v>
      </x:c>
      <x:c r="X56" s="70" t="str"/>
      <x:c r="Y56" s="70" t="str"/>
      <x:c r="Z56" s="82" t="str">
        <x:v>2026-08-05</x:v>
      </x:c>
    </x:row>
    <x:row r="57" ht="38" customHeight="1">
      <x:c r="A57" s="82" t="n">
        <x:v>56</x:v>
      </x:c>
      <x:c r="B57" s="82" t="str">
        <x:v>钙钛矿工厂</x:v>
      </x:c>
      <x:c r="C57" s="82" t="str">
        <x:v>光伏</x:v>
      </x:c>
      <x:c r="D57" s="82" t="str">
        <x:v>实时</x:v>
      </x:c>
      <x:c r="E57" s="70" t="str"/>
      <x:c r="F57" s="82" t="str">
        <x:v>已配置跳过</x:v>
      </x:c>
      <x:c r="G57" s="82" t="n">
        <x:v>0</x:v>
      </x:c>
      <x:c r="H57" s="82" t="n">
        <x:v>0</x:v>
      </x:c>
      <x:c r="I57" s="82" t="n">
        <x:v>0</x:v>
      </x:c>
      <x:c r="J57" s="82" t="n">
        <x:v>0</x:v>
      </x:c>
      <x:c r="K57" s="82" t="n">
        <x:v>0</x:v>
      </x:c>
      <x:c r="L57" s="82" t="n">
        <x:v>0</x:v>
      </x:c>
      <x:c r="M57" s="82" t="str"/>
      <x:c r="N57" s="82" t="str"/>
      <x:c r="O57" s="82" t="n">
        <x:v>0</x:v>
      </x:c>
      <x:c r="P57" s="82" t="n">
        <x:v>0</x:v>
      </x:c>
      <x:c r="Q57" s="82" t="n">
        <x:v>0</x:v>
      </x:c>
      <x:c r="R57" s="82" t="n">
        <x:v>0</x:v>
      </x:c>
      <x:c r="S57" s="70" t="str">
        <x:v>COVER-001</x:v>
      </x:c>
      <x:c r="T57" s="70" t="str">
        <x:v>公众号</x:v>
      </x:c>
      <x:c r="U57" s="83" t="str"/>
      <x:c r="V57" s="83" t="str"/>
      <x:c r="W57" s="70" t="str">
        <x:v>待执行</x:v>
      </x:c>
      <x:c r="X57" s="70" t="str"/>
      <x:c r="Y57" s="70" t="str"/>
      <x:c r="Z57" s="82" t="str">
        <x:v>2026-08-05</x:v>
      </x:c>
    </x:row>
    <x:row r="58" ht="38" customHeight="1">
      <x:c r="A58" s="82" t="n">
        <x:v>57</x:v>
      </x:c>
      <x:c r="B58" s="82" t="str">
        <x:v>风电世界</x:v>
      </x:c>
      <x:c r="C58" s="82" t="str">
        <x:v>风能</x:v>
      </x:c>
      <x:c r="D58" s="82" t="str">
        <x:v>实时</x:v>
      </x:c>
      <x:c r="E58" s="70" t="str"/>
      <x:c r="F58" s="82" t="str">
        <x:v>已配置跳过</x:v>
      </x:c>
      <x:c r="G58" s="82" t="n">
        <x:v>0</x:v>
      </x:c>
      <x:c r="H58" s="82" t="n">
        <x:v>0</x:v>
      </x:c>
      <x:c r="I58" s="82" t="n">
        <x:v>0</x:v>
      </x:c>
      <x:c r="J58" s="82" t="n">
        <x:v>0</x:v>
      </x:c>
      <x:c r="K58" s="82" t="n">
        <x:v>0</x:v>
      </x:c>
      <x:c r="L58" s="82" t="n">
        <x:v>0</x:v>
      </x:c>
      <x:c r="M58" s="82" t="str"/>
      <x:c r="N58" s="82" t="str"/>
      <x:c r="O58" s="82" t="n">
        <x:v>0</x:v>
      </x:c>
      <x:c r="P58" s="82" t="n">
        <x:v>0</x:v>
      </x:c>
      <x:c r="Q58" s="82" t="n">
        <x:v>0</x:v>
      </x:c>
      <x:c r="R58" s="82" t="n">
        <x:v>0</x:v>
      </x:c>
      <x:c r="S58" s="70" t="str">
        <x:v>COVER-001</x:v>
      </x:c>
      <x:c r="T58" s="70" t="str">
        <x:v>配置为跳过</x:v>
      </x:c>
      <x:c r="U58" s="83" t="str"/>
      <x:c r="V58" s="83" t="str"/>
      <x:c r="W58" s="70" t="str">
        <x:v>待执行</x:v>
      </x:c>
      <x:c r="X58" s="70" t="str"/>
      <x:c r="Y58" s="70" t="str"/>
      <x:c r="Z58" s="82" t="str">
        <x:v>2026-08-05</x:v>
      </x:c>
    </x:row>
    <x:row r="59">
      <x:c r="A59" s="82"/>
      <x:c r="B59" s="82"/>
      <x:c r="C59" s="82"/>
      <x:c r="D59" s="82"/>
      <x:c r="E59" s="70"/>
      <x:c r="F59" s="82"/>
      <x:c r="G59" s="82"/>
      <x:c r="H59" s="82"/>
      <x:c r="I59" s="82"/>
      <x:c r="J59" s="82"/>
      <x:c r="K59" s="82"/>
      <x:c r="L59" s="82"/>
      <x:c r="M59" s="82"/>
      <x:c r="N59" s="82"/>
      <x:c r="O59" s="82"/>
      <x:c r="P59" s="82"/>
      <x:c r="Q59" s="82"/>
      <x:c r="R59" s="82"/>
      <x:c r="S59" s="70"/>
      <x:c r="T59" s="70"/>
      <x:c r="U59" s="83"/>
      <x:c r="V59" s="83"/>
      <x:c r="W59" s="70"/>
      <x:c r="X59" s="70"/>
      <x:c r="Y59" s="70"/>
      <x:c r="Z59" s="82"/>
    </x:row>
    <x:row r="60">
      <x:c r="A60" s="82"/>
      <x:c r="B60" s="82"/>
      <x:c r="C60" s="82"/>
      <x:c r="D60" s="82"/>
      <x:c r="E60" s="70"/>
      <x:c r="F60" s="82"/>
      <x:c r="G60" s="82"/>
      <x:c r="H60" s="82"/>
      <x:c r="I60" s="82"/>
      <x:c r="J60" s="82"/>
      <x:c r="K60" s="82"/>
      <x:c r="L60" s="82"/>
      <x:c r="M60" s="82"/>
      <x:c r="N60" s="82"/>
      <x:c r="O60" s="82"/>
      <x:c r="P60" s="82"/>
      <x:c r="Q60" s="82"/>
      <x:c r="R60" s="82"/>
      <x:c r="S60" s="70"/>
      <x:c r="T60" s="70"/>
      <x:c r="U60" s="83"/>
      <x:c r="V60" s="83"/>
      <x:c r="W60" s="70"/>
      <x:c r="X60" s="70"/>
      <x:c r="Y60" s="70"/>
      <x:c r="Z60" s="82"/>
    </x:row>
    <x:row r="61">
      <x:c r="A61" s="82"/>
      <x:c r="B61" s="82"/>
      <x:c r="C61" s="82"/>
      <x:c r="D61" s="82"/>
      <x:c r="E61" s="70"/>
      <x:c r="F61" s="82"/>
      <x:c r="G61" s="82"/>
      <x:c r="H61" s="82"/>
      <x:c r="I61" s="82"/>
      <x:c r="J61" s="82"/>
      <x:c r="K61" s="82"/>
      <x:c r="L61" s="82"/>
      <x:c r="M61" s="82"/>
      <x:c r="N61" s="82"/>
      <x:c r="O61" s="82"/>
      <x:c r="P61" s="82"/>
      <x:c r="Q61" s="82"/>
      <x:c r="R61" s="82"/>
      <x:c r="S61" s="70"/>
      <x:c r="T61" s="70"/>
      <x:c r="U61" s="83"/>
      <x:c r="V61" s="83"/>
      <x:c r="W61" s="70"/>
      <x:c r="X61" s="70"/>
      <x:c r="Y61" s="70"/>
      <x:c r="Z61" s="82"/>
    </x:row>
    <x:row r="62">
      <x:c r="A62" s="82"/>
      <x:c r="B62" s="82"/>
      <x:c r="C62" s="82"/>
      <x:c r="D62" s="82"/>
      <x:c r="E62" s="70"/>
      <x:c r="F62" s="82"/>
      <x:c r="G62" s="82"/>
      <x:c r="H62" s="82"/>
      <x:c r="I62" s="82"/>
      <x:c r="J62" s="82"/>
      <x:c r="K62" s="82"/>
      <x:c r="L62" s="82"/>
      <x:c r="M62" s="82"/>
      <x:c r="N62" s="82"/>
      <x:c r="O62" s="82"/>
      <x:c r="P62" s="82"/>
      <x:c r="Q62" s="82"/>
      <x:c r="R62" s="82"/>
      <x:c r="S62" s="70"/>
      <x:c r="T62" s="70"/>
      <x:c r="U62" s="83"/>
      <x:c r="V62" s="83"/>
      <x:c r="W62" s="70"/>
      <x:c r="X62" s="70"/>
      <x:c r="Y62" s="70"/>
      <x:c r="Z62" s="82"/>
    </x:row>
    <x:row r="63">
      <x:c r="A63" s="82"/>
      <x:c r="B63" s="82"/>
      <x:c r="C63" s="82"/>
      <x:c r="D63" s="82"/>
      <x:c r="E63" s="70"/>
      <x:c r="F63" s="82"/>
      <x:c r="G63" s="82"/>
      <x:c r="H63" s="82"/>
      <x:c r="I63" s="82"/>
      <x:c r="J63" s="82"/>
      <x:c r="K63" s="82"/>
      <x:c r="L63" s="82"/>
      <x:c r="M63" s="82"/>
      <x:c r="N63" s="82"/>
      <x:c r="O63" s="82"/>
      <x:c r="P63" s="82"/>
      <x:c r="Q63" s="82"/>
      <x:c r="R63" s="82"/>
      <x:c r="S63" s="70"/>
      <x:c r="T63" s="70"/>
      <x:c r="U63" s="83"/>
      <x:c r="V63" s="83"/>
      <x:c r="W63" s="70"/>
      <x:c r="X63" s="70"/>
      <x:c r="Y63" s="70"/>
      <x:c r="Z63" s="82"/>
    </x:row>
    <x:row r="64">
      <x:c r="A64" s="82"/>
      <x:c r="B64" s="82"/>
      <x:c r="C64" s="82"/>
      <x:c r="D64" s="82"/>
      <x:c r="E64" s="70"/>
      <x:c r="F64" s="82"/>
      <x:c r="G64" s="82"/>
      <x:c r="H64" s="82"/>
      <x:c r="I64" s="82"/>
      <x:c r="J64" s="82"/>
      <x:c r="K64" s="82"/>
      <x:c r="L64" s="82"/>
      <x:c r="M64" s="82"/>
      <x:c r="N64" s="82"/>
      <x:c r="O64" s="82"/>
      <x:c r="P64" s="82"/>
      <x:c r="Q64" s="82"/>
      <x:c r="R64" s="82"/>
      <x:c r="S64" s="70"/>
      <x:c r="T64" s="70"/>
      <x:c r="U64" s="83"/>
      <x:c r="V64" s="83"/>
      <x:c r="W64" s="70"/>
      <x:c r="X64" s="70"/>
      <x:c r="Y64" s="70"/>
      <x:c r="Z64" s="82"/>
    </x:row>
    <x:row r="65">
      <x:c r="A65" s="82"/>
      <x:c r="B65" s="82"/>
      <x:c r="C65" s="82"/>
      <x:c r="D65" s="82"/>
      <x:c r="E65" s="70"/>
      <x:c r="F65" s="82"/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  <x:c r="Q65" s="82"/>
      <x:c r="R65" s="82"/>
      <x:c r="S65" s="70"/>
      <x:c r="T65" s="70"/>
      <x:c r="U65" s="83"/>
      <x:c r="V65" s="83"/>
      <x:c r="W65" s="70"/>
      <x:c r="X65" s="70"/>
      <x:c r="Y65" s="70"/>
      <x:c r="Z65" s="82"/>
    </x:row>
    <x:row r="66">
      <x:c r="A66" s="82"/>
      <x:c r="B66" s="82"/>
      <x:c r="C66" s="82"/>
      <x:c r="D66" s="82"/>
      <x:c r="E66" s="70"/>
      <x:c r="F66" s="82"/>
      <x:c r="G66" s="82"/>
      <x:c r="H66" s="82"/>
      <x:c r="I66" s="82"/>
      <x:c r="J66" s="82"/>
      <x:c r="K66" s="82"/>
      <x:c r="L66" s="82"/>
      <x:c r="M66" s="82"/>
      <x:c r="N66" s="82"/>
      <x:c r="O66" s="82"/>
      <x:c r="P66" s="82"/>
      <x:c r="Q66" s="82"/>
      <x:c r="R66" s="82"/>
      <x:c r="S66" s="70"/>
      <x:c r="T66" s="70"/>
      <x:c r="U66" s="83"/>
      <x:c r="V66" s="83"/>
      <x:c r="W66" s="70"/>
      <x:c r="X66" s="70"/>
      <x:c r="Y66" s="70"/>
      <x:c r="Z66" s="82"/>
    </x:row>
    <x:row r="67">
      <x:c r="A67" s="82"/>
      <x:c r="B67" s="82"/>
      <x:c r="C67" s="82"/>
      <x:c r="D67" s="82"/>
      <x:c r="E67" s="70"/>
      <x:c r="F67" s="82"/>
      <x:c r="G67" s="82"/>
      <x:c r="H67" s="82"/>
      <x:c r="I67" s="82"/>
      <x:c r="J67" s="82"/>
      <x:c r="K67" s="82"/>
      <x:c r="L67" s="82"/>
      <x:c r="M67" s="82"/>
      <x:c r="N67" s="82"/>
      <x:c r="O67" s="82"/>
      <x:c r="P67" s="82"/>
      <x:c r="Q67" s="82"/>
      <x:c r="R67" s="82"/>
      <x:c r="S67" s="70"/>
      <x:c r="T67" s="70"/>
      <x:c r="U67" s="83"/>
      <x:c r="V67" s="83"/>
      <x:c r="W67" s="70"/>
      <x:c r="X67" s="70"/>
      <x:c r="Y67" s="70"/>
      <x:c r="Z67" s="82"/>
    </x:row>
    <x:row r="68">
      <x:c r="A68" s="82"/>
      <x:c r="B68" s="82"/>
      <x:c r="C68" s="82"/>
      <x:c r="D68" s="82"/>
      <x:c r="E68" s="70"/>
      <x:c r="F68" s="82"/>
      <x:c r="G68" s="82"/>
      <x:c r="H68" s="82"/>
      <x:c r="I68" s="82"/>
      <x:c r="J68" s="82"/>
      <x:c r="K68" s="82"/>
      <x:c r="L68" s="82"/>
      <x:c r="M68" s="82"/>
      <x:c r="N68" s="82"/>
      <x:c r="O68" s="82"/>
      <x:c r="P68" s="82"/>
      <x:c r="Q68" s="82"/>
      <x:c r="R68" s="82"/>
      <x:c r="S68" s="70"/>
      <x:c r="T68" s="70"/>
      <x:c r="U68" s="83"/>
      <x:c r="V68" s="83"/>
      <x:c r="W68" s="70"/>
      <x:c r="X68" s="70"/>
      <x:c r="Y68" s="70"/>
      <x:c r="Z68" s="82"/>
    </x:row>
    <x:row r="69">
      <x:c r="A69" s="82"/>
      <x:c r="B69" s="82"/>
      <x:c r="C69" s="82"/>
      <x:c r="D69" s="82"/>
      <x:c r="E69" s="70"/>
      <x:c r="F69" s="82"/>
      <x:c r="G69" s="82"/>
      <x:c r="H69" s="82"/>
      <x:c r="I69" s="82"/>
      <x:c r="J69" s="82"/>
      <x:c r="K69" s="82"/>
      <x:c r="L69" s="82"/>
      <x:c r="M69" s="82"/>
      <x:c r="N69" s="82"/>
      <x:c r="O69" s="82"/>
      <x:c r="P69" s="82"/>
      <x:c r="Q69" s="82"/>
      <x:c r="R69" s="82"/>
      <x:c r="S69" s="70"/>
      <x:c r="T69" s="70"/>
      <x:c r="U69" s="83"/>
      <x:c r="V69" s="83"/>
      <x:c r="W69" s="70"/>
      <x:c r="X69" s="70"/>
      <x:c r="Y69" s="70"/>
      <x:c r="Z69" s="82"/>
    </x:row>
    <x:row r="70">
      <x:c r="A70" s="82"/>
      <x:c r="B70" s="82"/>
      <x:c r="C70" s="82"/>
      <x:c r="D70" s="82"/>
      <x:c r="E70" s="70"/>
      <x:c r="F70" s="82"/>
      <x:c r="G70" s="82"/>
      <x:c r="H70" s="82"/>
      <x:c r="I70" s="82"/>
      <x:c r="J70" s="82"/>
      <x:c r="K70" s="82"/>
      <x:c r="L70" s="82"/>
      <x:c r="M70" s="82"/>
      <x:c r="N70" s="82"/>
      <x:c r="O70" s="82"/>
      <x:c r="P70" s="82"/>
      <x:c r="Q70" s="82"/>
      <x:c r="R70" s="82"/>
      <x:c r="S70" s="70"/>
      <x:c r="T70" s="70"/>
      <x:c r="U70" s="83"/>
      <x:c r="V70" s="83"/>
      <x:c r="W70" s="70"/>
      <x:c r="X70" s="70"/>
      <x:c r="Y70" s="70"/>
      <x:c r="Z70" s="82"/>
    </x:row>
    <x:row r="71">
      <x:c r="A71" s="82"/>
      <x:c r="B71" s="82"/>
      <x:c r="C71" s="82"/>
      <x:c r="D71" s="82"/>
      <x:c r="E71" s="70"/>
      <x:c r="F71" s="82"/>
      <x:c r="G71" s="82"/>
      <x:c r="H71" s="82"/>
      <x:c r="I71" s="82"/>
      <x:c r="J71" s="82"/>
      <x:c r="K71" s="82"/>
      <x:c r="L71" s="82"/>
      <x:c r="M71" s="82"/>
      <x:c r="N71" s="82"/>
      <x:c r="O71" s="82"/>
      <x:c r="P71" s="82"/>
      <x:c r="Q71" s="82"/>
      <x:c r="R71" s="82"/>
      <x:c r="S71" s="70"/>
      <x:c r="T71" s="70"/>
      <x:c r="U71" s="83"/>
      <x:c r="V71" s="83"/>
      <x:c r="W71" s="70"/>
      <x:c r="X71" s="70"/>
      <x:c r="Y71" s="70"/>
      <x:c r="Z71" s="82"/>
    </x:row>
    <x:row r="72">
      <x:c r="A72" s="82"/>
      <x:c r="B72" s="82"/>
      <x:c r="C72" s="82"/>
      <x:c r="D72" s="82"/>
      <x:c r="E72" s="70"/>
      <x:c r="F72" s="82"/>
      <x:c r="G72" s="82"/>
      <x:c r="H72" s="82"/>
      <x:c r="I72" s="82"/>
      <x:c r="J72" s="82"/>
      <x:c r="K72" s="82"/>
      <x:c r="L72" s="82"/>
      <x:c r="M72" s="82"/>
      <x:c r="N72" s="82"/>
      <x:c r="O72" s="82"/>
      <x:c r="P72" s="82"/>
      <x:c r="Q72" s="82"/>
      <x:c r="R72" s="82"/>
      <x:c r="S72" s="70"/>
      <x:c r="T72" s="70"/>
      <x:c r="U72" s="83"/>
      <x:c r="V72" s="83"/>
      <x:c r="W72" s="70"/>
      <x:c r="X72" s="70"/>
      <x:c r="Y72" s="70"/>
      <x:c r="Z72" s="82"/>
    </x:row>
    <x:row r="73">
      <x:c r="A73" s="82"/>
      <x:c r="B73" s="82"/>
      <x:c r="C73" s="82"/>
      <x:c r="D73" s="82"/>
      <x:c r="E73" s="70"/>
      <x:c r="F73" s="82"/>
      <x:c r="G73" s="82"/>
      <x:c r="H73" s="82"/>
      <x:c r="I73" s="82"/>
      <x:c r="J73" s="82"/>
      <x:c r="K73" s="82"/>
      <x:c r="L73" s="82"/>
      <x:c r="M73" s="82"/>
      <x:c r="N73" s="82"/>
      <x:c r="O73" s="82"/>
      <x:c r="P73" s="82"/>
      <x:c r="Q73" s="82"/>
      <x:c r="R73" s="82"/>
      <x:c r="S73" s="70"/>
      <x:c r="T73" s="70"/>
      <x:c r="U73" s="83"/>
      <x:c r="V73" s="83"/>
      <x:c r="W73" s="70"/>
      <x:c r="X73" s="70"/>
      <x:c r="Y73" s="70"/>
      <x:c r="Z73" s="82"/>
    </x:row>
    <x:row r="74">
      <x:c r="A74" s="82"/>
      <x:c r="B74" s="82"/>
      <x:c r="C74" s="82"/>
      <x:c r="D74" s="82"/>
      <x:c r="E74" s="70"/>
      <x:c r="F74" s="82"/>
      <x:c r="G74" s="82"/>
      <x:c r="H74" s="82"/>
      <x:c r="I74" s="82"/>
      <x:c r="J74" s="82"/>
      <x:c r="K74" s="82"/>
      <x:c r="L74" s="82"/>
      <x:c r="M74" s="82"/>
      <x:c r="N74" s="82"/>
      <x:c r="O74" s="82"/>
      <x:c r="P74" s="82"/>
      <x:c r="Q74" s="82"/>
      <x:c r="R74" s="82"/>
      <x:c r="S74" s="70"/>
      <x:c r="T74" s="70"/>
      <x:c r="U74" s="83"/>
      <x:c r="V74" s="83"/>
      <x:c r="W74" s="70"/>
      <x:c r="X74" s="70"/>
      <x:c r="Y74" s="70"/>
      <x:c r="Z74" s="82"/>
    </x:row>
    <x:row r="75">
      <x:c r="A75" s="82"/>
      <x:c r="B75" s="82"/>
      <x:c r="C75" s="82"/>
      <x:c r="D75" s="82"/>
      <x:c r="E75" s="70"/>
      <x:c r="F75" s="82"/>
      <x:c r="G75" s="82"/>
      <x:c r="H75" s="82"/>
      <x:c r="I75" s="82"/>
      <x:c r="J75" s="82"/>
      <x:c r="K75" s="82"/>
      <x:c r="L75" s="82"/>
      <x:c r="M75" s="82"/>
      <x:c r="N75" s="82"/>
      <x:c r="O75" s="82"/>
      <x:c r="P75" s="82"/>
      <x:c r="Q75" s="82"/>
      <x:c r="R75" s="82"/>
      <x:c r="S75" s="70"/>
      <x:c r="T75" s="70"/>
      <x:c r="U75" s="83"/>
      <x:c r="V75" s="83"/>
      <x:c r="W75" s="70"/>
      <x:c r="X75" s="70"/>
      <x:c r="Y75" s="70"/>
      <x:c r="Z75" s="82"/>
    </x:row>
    <x:row r="76">
      <x:c r="A76" s="82"/>
      <x:c r="B76" s="82"/>
      <x:c r="C76" s="82"/>
      <x:c r="D76" s="82"/>
      <x:c r="E76" s="70"/>
      <x:c r="F76" s="82"/>
      <x:c r="G76" s="82"/>
      <x:c r="H76" s="82"/>
      <x:c r="I76" s="82"/>
      <x:c r="J76" s="82"/>
      <x:c r="K76" s="82"/>
      <x:c r="L76" s="82"/>
      <x:c r="M76" s="82"/>
      <x:c r="N76" s="82"/>
      <x:c r="O76" s="82"/>
      <x:c r="P76" s="82"/>
      <x:c r="Q76" s="82"/>
      <x:c r="R76" s="82"/>
      <x:c r="S76" s="70"/>
      <x:c r="T76" s="70"/>
      <x:c r="U76" s="83"/>
      <x:c r="V76" s="83"/>
      <x:c r="W76" s="70"/>
      <x:c r="X76" s="70"/>
      <x:c r="Y76" s="70"/>
      <x:c r="Z76" s="82"/>
    </x:row>
    <x:row r="77">
      <x:c r="A77" s="82"/>
      <x:c r="B77" s="82"/>
      <x:c r="C77" s="82"/>
      <x:c r="D77" s="82"/>
      <x:c r="E77" s="70"/>
      <x:c r="F77" s="82"/>
      <x:c r="G77" s="82"/>
      <x:c r="H77" s="82"/>
      <x:c r="I77" s="82"/>
      <x:c r="J77" s="82"/>
      <x:c r="K77" s="82"/>
      <x:c r="L77" s="82"/>
      <x:c r="M77" s="82"/>
      <x:c r="N77" s="82"/>
      <x:c r="O77" s="82"/>
      <x:c r="P77" s="82"/>
      <x:c r="Q77" s="82"/>
      <x:c r="R77" s="82"/>
      <x:c r="S77" s="70"/>
      <x:c r="T77" s="70"/>
      <x:c r="U77" s="83"/>
      <x:c r="V77" s="83"/>
      <x:c r="W77" s="70"/>
      <x:c r="X77" s="70"/>
      <x:c r="Y77" s="70"/>
      <x:c r="Z77" s="82"/>
    </x:row>
    <x:row r="78">
      <x:c r="A78" s="82"/>
      <x:c r="B78" s="82"/>
      <x:c r="C78" s="82"/>
      <x:c r="D78" s="82"/>
      <x:c r="E78" s="70"/>
      <x:c r="F78" s="82"/>
      <x:c r="G78" s="82"/>
      <x:c r="H78" s="82"/>
      <x:c r="I78" s="82"/>
      <x:c r="J78" s="82"/>
      <x:c r="K78" s="82"/>
      <x:c r="L78" s="82"/>
      <x:c r="M78" s="82"/>
      <x:c r="N78" s="82"/>
      <x:c r="O78" s="82"/>
      <x:c r="P78" s="82"/>
      <x:c r="Q78" s="82"/>
      <x:c r="R78" s="82"/>
      <x:c r="S78" s="70"/>
      <x:c r="T78" s="70"/>
      <x:c r="U78" s="83"/>
      <x:c r="V78" s="83"/>
      <x:c r="W78" s="70"/>
      <x:c r="X78" s="70"/>
      <x:c r="Y78" s="70"/>
      <x:c r="Z78" s="82"/>
    </x:row>
    <x:row r="79">
      <x:c r="A79" s="82"/>
      <x:c r="B79" s="82"/>
      <x:c r="C79" s="82"/>
      <x:c r="D79" s="82"/>
      <x:c r="E79" s="70"/>
      <x:c r="F79" s="82"/>
      <x:c r="G79" s="82"/>
      <x:c r="H79" s="82"/>
      <x:c r="I79" s="82"/>
      <x:c r="J79" s="82"/>
      <x:c r="K79" s="82"/>
      <x:c r="L79" s="82"/>
      <x:c r="M79" s="82"/>
      <x:c r="N79" s="82"/>
      <x:c r="O79" s="82"/>
      <x:c r="P79" s="82"/>
      <x:c r="Q79" s="82"/>
      <x:c r="R79" s="82"/>
      <x:c r="S79" s="70"/>
      <x:c r="T79" s="70"/>
      <x:c r="U79" s="83"/>
      <x:c r="V79" s="83"/>
      <x:c r="W79" s="70"/>
      <x:c r="X79" s="70"/>
      <x:c r="Y79" s="70"/>
      <x:c r="Z79" s="82"/>
    </x:row>
    <x:row r="80">
      <x:c r="A80" s="82"/>
      <x:c r="B80" s="82"/>
      <x:c r="C80" s="82"/>
      <x:c r="D80" s="82"/>
      <x:c r="E80" s="70"/>
      <x:c r="F80" s="82"/>
      <x:c r="G80" s="82"/>
      <x:c r="H80" s="82"/>
      <x:c r="I80" s="82"/>
      <x:c r="J80" s="82"/>
      <x:c r="K80" s="82"/>
      <x:c r="L80" s="82"/>
      <x:c r="M80" s="82"/>
      <x:c r="N80" s="82"/>
      <x:c r="O80" s="82"/>
      <x:c r="P80" s="82"/>
      <x:c r="Q80" s="82"/>
      <x:c r="R80" s="82"/>
      <x:c r="S80" s="70"/>
      <x:c r="T80" s="70"/>
      <x:c r="U80" s="83"/>
      <x:c r="V80" s="83"/>
      <x:c r="W80" s="70"/>
      <x:c r="X80" s="70"/>
      <x:c r="Y80" s="70"/>
      <x:c r="Z80" s="82"/>
    </x:row>
    <x:row r="81">
      <x:c r="A81" s="82"/>
      <x:c r="B81" s="82"/>
      <x:c r="C81" s="82"/>
      <x:c r="D81" s="82"/>
      <x:c r="E81" s="70"/>
      <x:c r="F81" s="82"/>
      <x:c r="G81" s="82"/>
      <x:c r="H81" s="82"/>
      <x:c r="I81" s="82"/>
      <x:c r="J81" s="82"/>
      <x:c r="K81" s="82"/>
      <x:c r="L81" s="82"/>
      <x:c r="M81" s="82"/>
      <x:c r="N81" s="82"/>
      <x:c r="O81" s="82"/>
      <x:c r="P81" s="82"/>
      <x:c r="Q81" s="82"/>
      <x:c r="R81" s="82"/>
      <x:c r="S81" s="70"/>
      <x:c r="T81" s="70"/>
      <x:c r="U81" s="83"/>
      <x:c r="V81" s="83"/>
      <x:c r="W81" s="70"/>
      <x:c r="X81" s="70"/>
      <x:c r="Y81" s="70"/>
      <x:c r="Z81" s="82"/>
    </x:row>
    <x:row r="82">
      <x:c r="A82" s="82"/>
      <x:c r="B82" s="82"/>
      <x:c r="C82" s="82"/>
      <x:c r="D82" s="82"/>
      <x:c r="E82" s="70"/>
      <x:c r="F82" s="82"/>
      <x:c r="G82" s="82"/>
      <x:c r="H82" s="82"/>
      <x:c r="I82" s="82"/>
      <x:c r="J82" s="82"/>
      <x:c r="K82" s="82"/>
      <x:c r="L82" s="82"/>
      <x:c r="M82" s="82"/>
      <x:c r="N82" s="82"/>
      <x:c r="O82" s="82"/>
      <x:c r="P82" s="82"/>
      <x:c r="Q82" s="82"/>
      <x:c r="R82" s="82"/>
      <x:c r="S82" s="70"/>
      <x:c r="T82" s="70"/>
      <x:c r="U82" s="83"/>
      <x:c r="V82" s="83"/>
      <x:c r="W82" s="70"/>
      <x:c r="X82" s="70"/>
      <x:c r="Y82" s="70"/>
      <x:c r="Z82" s="82"/>
    </x:row>
    <x:row r="83">
      <x:c r="A83" s="82"/>
      <x:c r="B83" s="82"/>
      <x:c r="C83" s="82"/>
      <x:c r="D83" s="82"/>
      <x:c r="E83" s="70"/>
      <x:c r="F83" s="82"/>
      <x:c r="G83" s="82"/>
      <x:c r="H83" s="82"/>
      <x:c r="I83" s="82"/>
      <x:c r="J83" s="82"/>
      <x:c r="K83" s="82"/>
      <x:c r="L83" s="82"/>
      <x:c r="M83" s="82"/>
      <x:c r="N83" s="82"/>
      <x:c r="O83" s="82"/>
      <x:c r="P83" s="82"/>
      <x:c r="Q83" s="82"/>
      <x:c r="R83" s="82"/>
      <x:c r="S83" s="70"/>
      <x:c r="T83" s="70"/>
      <x:c r="U83" s="83"/>
      <x:c r="V83" s="83"/>
      <x:c r="W83" s="70"/>
      <x:c r="X83" s="70"/>
      <x:c r="Y83" s="70"/>
      <x:c r="Z83" s="82"/>
    </x:row>
    <x:row r="84">
      <x:c r="A84" s="82"/>
      <x:c r="B84" s="82"/>
      <x:c r="C84" s="82"/>
      <x:c r="D84" s="82"/>
      <x:c r="E84" s="70"/>
      <x:c r="F84" s="82"/>
      <x:c r="G84" s="82"/>
      <x:c r="H84" s="82"/>
      <x:c r="I84" s="82"/>
      <x:c r="J84" s="82"/>
      <x:c r="K84" s="82"/>
      <x:c r="L84" s="82"/>
      <x:c r="M84" s="82"/>
      <x:c r="N84" s="82"/>
      <x:c r="O84" s="82"/>
      <x:c r="P84" s="82"/>
      <x:c r="Q84" s="82"/>
      <x:c r="R84" s="82"/>
      <x:c r="S84" s="70"/>
      <x:c r="T84" s="70"/>
      <x:c r="U84" s="83"/>
      <x:c r="V84" s="83"/>
      <x:c r="W84" s="70"/>
      <x:c r="X84" s="70"/>
      <x:c r="Y84" s="70"/>
      <x:c r="Z84" s="82"/>
    </x:row>
    <x:row r="85">
      <x:c r="A85" s="82"/>
      <x:c r="B85" s="82"/>
      <x:c r="C85" s="82"/>
      <x:c r="D85" s="82"/>
      <x:c r="E85" s="70"/>
      <x:c r="F85" s="82"/>
      <x:c r="G85" s="82"/>
      <x:c r="H85" s="82"/>
      <x:c r="I85" s="82"/>
      <x:c r="J85" s="82"/>
      <x:c r="K85" s="82"/>
      <x:c r="L85" s="82"/>
      <x:c r="M85" s="82"/>
      <x:c r="N85" s="82"/>
      <x:c r="O85" s="82"/>
      <x:c r="P85" s="82"/>
      <x:c r="Q85" s="82"/>
      <x:c r="R85" s="82"/>
      <x:c r="S85" s="70"/>
      <x:c r="T85" s="70"/>
      <x:c r="U85" s="83"/>
      <x:c r="V85" s="83"/>
      <x:c r="W85" s="70"/>
      <x:c r="X85" s="70"/>
      <x:c r="Y85" s="70"/>
      <x:c r="Z85" s="82"/>
    </x:row>
    <x:row r="86">
      <x:c r="A86" s="82"/>
      <x:c r="B86" s="82"/>
      <x:c r="C86" s="82"/>
      <x:c r="D86" s="82"/>
      <x:c r="E86" s="70"/>
      <x:c r="F86" s="82"/>
      <x:c r="G86" s="82"/>
      <x:c r="H86" s="82"/>
      <x:c r="I86" s="82"/>
      <x:c r="J86" s="82"/>
      <x:c r="K86" s="82"/>
      <x:c r="L86" s="82"/>
      <x:c r="M86" s="82"/>
      <x:c r="N86" s="82"/>
      <x:c r="O86" s="82"/>
      <x:c r="P86" s="82"/>
      <x:c r="Q86" s="82"/>
      <x:c r="R86" s="82"/>
      <x:c r="S86" s="70"/>
      <x:c r="T86" s="70"/>
      <x:c r="U86" s="83"/>
      <x:c r="V86" s="83"/>
      <x:c r="W86" s="70"/>
      <x:c r="X86" s="70"/>
      <x:c r="Y86" s="70"/>
      <x:c r="Z86" s="82"/>
    </x:row>
    <x:row r="87">
      <x:c r="A87" s="82"/>
      <x:c r="B87" s="82"/>
      <x:c r="C87" s="82"/>
      <x:c r="D87" s="82"/>
      <x:c r="E87" s="70"/>
      <x:c r="F87" s="82"/>
      <x:c r="G87" s="82"/>
      <x:c r="H87" s="82"/>
      <x:c r="I87" s="82"/>
      <x:c r="J87" s="82"/>
      <x:c r="K87" s="82"/>
      <x:c r="L87" s="82"/>
      <x:c r="M87" s="82"/>
      <x:c r="N87" s="82"/>
      <x:c r="O87" s="82"/>
      <x:c r="P87" s="82"/>
      <x:c r="Q87" s="82"/>
      <x:c r="R87" s="82"/>
      <x:c r="S87" s="70"/>
      <x:c r="T87" s="70"/>
      <x:c r="U87" s="83"/>
      <x:c r="V87" s="83"/>
      <x:c r="W87" s="70"/>
      <x:c r="X87" s="70"/>
      <x:c r="Y87" s="70"/>
      <x:c r="Z87" s="82"/>
    </x:row>
    <x:row r="88">
      <x:c r="A88" s="82"/>
      <x:c r="B88" s="82"/>
      <x:c r="C88" s="82"/>
      <x:c r="D88" s="82"/>
      <x:c r="E88" s="70"/>
      <x:c r="F88" s="82"/>
      <x:c r="G88" s="82"/>
      <x:c r="H88" s="82"/>
      <x:c r="I88" s="82"/>
      <x:c r="J88" s="82"/>
      <x:c r="K88" s="82"/>
      <x:c r="L88" s="82"/>
      <x:c r="M88" s="82"/>
      <x:c r="N88" s="82"/>
      <x:c r="O88" s="82"/>
      <x:c r="P88" s="82"/>
      <x:c r="Q88" s="82"/>
      <x:c r="R88" s="82"/>
      <x:c r="S88" s="70"/>
      <x:c r="T88" s="70"/>
      <x:c r="U88" s="83"/>
      <x:c r="V88" s="83"/>
      <x:c r="W88" s="70"/>
      <x:c r="X88" s="70"/>
      <x:c r="Y88" s="70"/>
      <x:c r="Z88" s="82"/>
    </x:row>
    <x:row r="89">
      <x:c r="A89" s="82"/>
      <x:c r="B89" s="82"/>
      <x:c r="C89" s="82"/>
      <x:c r="D89" s="82"/>
      <x:c r="E89" s="70"/>
      <x:c r="F89" s="82"/>
      <x:c r="G89" s="82"/>
      <x:c r="H89" s="82"/>
      <x:c r="I89" s="82"/>
      <x:c r="J89" s="82"/>
      <x:c r="K89" s="82"/>
      <x:c r="L89" s="82"/>
      <x:c r="M89" s="82"/>
      <x:c r="N89" s="82"/>
      <x:c r="O89" s="82"/>
      <x:c r="P89" s="82"/>
      <x:c r="Q89" s="82"/>
      <x:c r="R89" s="82"/>
      <x:c r="S89" s="70"/>
      <x:c r="T89" s="70"/>
      <x:c r="U89" s="83"/>
      <x:c r="V89" s="83"/>
      <x:c r="W89" s="70"/>
      <x:c r="X89" s="70"/>
      <x:c r="Y89" s="70"/>
      <x:c r="Z89" s="82"/>
    </x:row>
    <x:row r="90">
      <x:c r="A90" s="82"/>
      <x:c r="B90" s="82"/>
      <x:c r="C90" s="82"/>
      <x:c r="D90" s="82"/>
      <x:c r="E90" s="70"/>
      <x:c r="F90" s="82"/>
      <x:c r="G90" s="82"/>
      <x:c r="H90" s="82"/>
      <x:c r="I90" s="82"/>
      <x:c r="J90" s="82"/>
      <x:c r="K90" s="82"/>
      <x:c r="L90" s="82"/>
      <x:c r="M90" s="82"/>
      <x:c r="N90" s="82"/>
      <x:c r="O90" s="82"/>
      <x:c r="P90" s="82"/>
      <x:c r="Q90" s="82"/>
      <x:c r="R90" s="82"/>
      <x:c r="S90" s="70"/>
      <x:c r="T90" s="70"/>
      <x:c r="U90" s="83"/>
      <x:c r="V90" s="83"/>
      <x:c r="W90" s="70"/>
      <x:c r="X90" s="70"/>
      <x:c r="Y90" s="70"/>
      <x:c r="Z90" s="82"/>
    </x:row>
    <x:row r="91">
      <x:c r="A91" s="82"/>
      <x:c r="B91" s="82"/>
      <x:c r="C91" s="82"/>
      <x:c r="D91" s="82"/>
      <x:c r="E91" s="70"/>
      <x:c r="F91" s="82"/>
      <x:c r="G91" s="82"/>
      <x:c r="H91" s="82"/>
      <x:c r="I91" s="82"/>
      <x:c r="J91" s="82"/>
      <x:c r="K91" s="82"/>
      <x:c r="L91" s="82"/>
      <x:c r="M91" s="82"/>
      <x:c r="N91" s="82"/>
      <x:c r="O91" s="82"/>
      <x:c r="P91" s="82"/>
      <x:c r="Q91" s="82"/>
      <x:c r="R91" s="82"/>
      <x:c r="S91" s="70"/>
      <x:c r="T91" s="70"/>
      <x:c r="U91" s="83"/>
      <x:c r="V91" s="83"/>
      <x:c r="W91" s="70"/>
      <x:c r="X91" s="70"/>
      <x:c r="Y91" s="70"/>
      <x:c r="Z91" s="82"/>
    </x:row>
    <x:row r="92">
      <x:c r="A92" s="82"/>
      <x:c r="B92" s="82"/>
      <x:c r="C92" s="82"/>
      <x:c r="D92" s="82"/>
      <x:c r="E92" s="70"/>
      <x:c r="F92" s="82"/>
      <x:c r="G92" s="82"/>
      <x:c r="H92" s="82"/>
      <x:c r="I92" s="82"/>
      <x:c r="J92" s="82"/>
      <x:c r="K92" s="82"/>
      <x:c r="L92" s="82"/>
      <x:c r="M92" s="82"/>
      <x:c r="N92" s="82"/>
      <x:c r="O92" s="82"/>
      <x:c r="P92" s="82"/>
      <x:c r="Q92" s="82"/>
      <x:c r="R92" s="82"/>
      <x:c r="S92" s="70"/>
      <x:c r="T92" s="70"/>
      <x:c r="U92" s="83"/>
      <x:c r="V92" s="83"/>
      <x:c r="W92" s="70"/>
      <x:c r="X92" s="70"/>
      <x:c r="Y92" s="70"/>
      <x:c r="Z92" s="82"/>
    </x:row>
    <x:row r="93">
      <x:c r="A93" s="82"/>
      <x:c r="B93" s="82"/>
      <x:c r="C93" s="82"/>
      <x:c r="D93" s="82"/>
      <x:c r="E93" s="70"/>
      <x:c r="F93" s="82"/>
      <x:c r="G93" s="82"/>
      <x:c r="H93" s="82"/>
      <x:c r="I93" s="82"/>
      <x:c r="J93" s="82"/>
      <x:c r="K93" s="82"/>
      <x:c r="L93" s="82"/>
      <x:c r="M93" s="82"/>
      <x:c r="N93" s="82"/>
      <x:c r="O93" s="82"/>
      <x:c r="P93" s="82"/>
      <x:c r="Q93" s="82"/>
      <x:c r="R93" s="82"/>
      <x:c r="S93" s="70"/>
      <x:c r="T93" s="70"/>
      <x:c r="U93" s="83"/>
      <x:c r="V93" s="83"/>
      <x:c r="W93" s="70"/>
      <x:c r="X93" s="70"/>
      <x:c r="Y93" s="70"/>
      <x:c r="Z93" s="82"/>
    </x:row>
    <x:row r="94">
      <x:c r="A94" s="82"/>
      <x:c r="B94" s="82"/>
      <x:c r="C94" s="82"/>
      <x:c r="D94" s="82"/>
      <x:c r="E94" s="70"/>
      <x:c r="F94" s="82"/>
      <x:c r="G94" s="82"/>
      <x:c r="H94" s="82"/>
      <x:c r="I94" s="82"/>
      <x:c r="J94" s="82"/>
      <x:c r="K94" s="82"/>
      <x:c r="L94" s="82"/>
      <x:c r="M94" s="82"/>
      <x:c r="N94" s="82"/>
      <x:c r="O94" s="82"/>
      <x:c r="P94" s="82"/>
      <x:c r="Q94" s="82"/>
      <x:c r="R94" s="82"/>
      <x:c r="S94" s="70"/>
      <x:c r="T94" s="70"/>
      <x:c r="U94" s="83"/>
      <x:c r="V94" s="83"/>
      <x:c r="W94" s="70"/>
      <x:c r="X94" s="70"/>
      <x:c r="Y94" s="70"/>
      <x:c r="Z94" s="82"/>
    </x:row>
    <x:row r="95">
      <x:c r="A95" s="82"/>
      <x:c r="B95" s="82"/>
      <x:c r="C95" s="82"/>
      <x:c r="D95" s="82"/>
      <x:c r="E95" s="70"/>
      <x:c r="F95" s="82"/>
      <x:c r="G95" s="82"/>
      <x:c r="H95" s="82"/>
      <x:c r="I95" s="82"/>
      <x:c r="J95" s="82"/>
      <x:c r="K95" s="82"/>
      <x:c r="L95" s="82"/>
      <x:c r="M95" s="82"/>
      <x:c r="N95" s="82"/>
      <x:c r="O95" s="82"/>
      <x:c r="P95" s="82"/>
      <x:c r="Q95" s="82"/>
      <x:c r="R95" s="82"/>
      <x:c r="S95" s="70"/>
      <x:c r="T95" s="70"/>
      <x:c r="U95" s="83"/>
      <x:c r="V95" s="83"/>
      <x:c r="W95" s="70"/>
      <x:c r="X95" s="70"/>
      <x:c r="Y95" s="70"/>
      <x:c r="Z95" s="82"/>
    </x:row>
    <x:row r="96">
      <x:c r="A96" s="82"/>
      <x:c r="B96" s="82"/>
      <x:c r="C96" s="82"/>
      <x:c r="D96" s="82"/>
      <x:c r="E96" s="70"/>
      <x:c r="F96" s="82"/>
      <x:c r="G96" s="82"/>
      <x:c r="H96" s="82"/>
      <x:c r="I96" s="82"/>
      <x:c r="J96" s="82"/>
      <x:c r="K96" s="82"/>
      <x:c r="L96" s="82"/>
      <x:c r="M96" s="82"/>
      <x:c r="N96" s="82"/>
      <x:c r="O96" s="82"/>
      <x:c r="P96" s="82"/>
      <x:c r="Q96" s="82"/>
      <x:c r="R96" s="82"/>
      <x:c r="S96" s="70"/>
      <x:c r="T96" s="70"/>
      <x:c r="U96" s="83"/>
      <x:c r="V96" s="83"/>
      <x:c r="W96" s="70"/>
      <x:c r="X96" s="70"/>
      <x:c r="Y96" s="70"/>
      <x:c r="Z96" s="82"/>
    </x:row>
    <x:row r="97">
      <x:c r="A97" s="82"/>
      <x:c r="B97" s="82"/>
      <x:c r="C97" s="82"/>
      <x:c r="D97" s="82"/>
      <x:c r="E97" s="70"/>
      <x:c r="F97" s="82"/>
      <x:c r="G97" s="82"/>
      <x:c r="H97" s="82"/>
      <x:c r="I97" s="82"/>
      <x:c r="J97" s="82"/>
      <x:c r="K97" s="82"/>
      <x:c r="L97" s="82"/>
      <x:c r="M97" s="82"/>
      <x:c r="N97" s="82"/>
      <x:c r="O97" s="82"/>
      <x:c r="P97" s="82"/>
      <x:c r="Q97" s="82"/>
      <x:c r="R97" s="82"/>
      <x:c r="S97" s="70"/>
      <x:c r="T97" s="70"/>
      <x:c r="U97" s="83"/>
      <x:c r="V97" s="83"/>
      <x:c r="W97" s="70"/>
      <x:c r="X97" s="70"/>
      <x:c r="Y97" s="70"/>
      <x:c r="Z97" s="82"/>
    </x:row>
    <x:row r="98">
      <x:c r="A98" s="82"/>
      <x:c r="B98" s="82"/>
      <x:c r="C98" s="82"/>
      <x:c r="D98" s="82"/>
      <x:c r="E98" s="70"/>
      <x:c r="F98" s="82"/>
      <x:c r="G98" s="82"/>
      <x:c r="H98" s="82"/>
      <x:c r="I98" s="82"/>
      <x:c r="J98" s="82"/>
      <x:c r="K98" s="82"/>
      <x:c r="L98" s="82"/>
      <x:c r="M98" s="82"/>
      <x:c r="N98" s="82"/>
      <x:c r="O98" s="82"/>
      <x:c r="P98" s="82"/>
      <x:c r="Q98" s="82"/>
      <x:c r="R98" s="82"/>
      <x:c r="S98" s="70"/>
      <x:c r="T98" s="70"/>
      <x:c r="U98" s="83"/>
      <x:c r="V98" s="83"/>
      <x:c r="W98" s="70"/>
      <x:c r="X98" s="70"/>
      <x:c r="Y98" s="70"/>
      <x:c r="Z98" s="82"/>
    </x:row>
    <x:row r="99">
      <x:c r="A99" s="82"/>
      <x:c r="B99" s="82"/>
      <x:c r="C99" s="82"/>
      <x:c r="D99" s="82"/>
      <x:c r="E99" s="70"/>
      <x:c r="F99" s="82"/>
      <x:c r="G99" s="82"/>
      <x:c r="H99" s="82"/>
      <x:c r="I99" s="82"/>
      <x:c r="J99" s="82"/>
      <x:c r="K99" s="82"/>
      <x:c r="L99" s="82"/>
      <x:c r="M99" s="82"/>
      <x:c r="N99" s="82"/>
      <x:c r="O99" s="82"/>
      <x:c r="P99" s="82"/>
      <x:c r="Q99" s="82"/>
      <x:c r="R99" s="82"/>
      <x:c r="S99" s="70"/>
      <x:c r="T99" s="70"/>
      <x:c r="U99" s="83"/>
      <x:c r="V99" s="83"/>
      <x:c r="W99" s="70"/>
      <x:c r="X99" s="70"/>
      <x:c r="Y99" s="70"/>
      <x:c r="Z99" s="82"/>
    </x:row>
    <x:row r="100">
      <x:c r="A100" s="82"/>
      <x:c r="B100" s="82"/>
      <x:c r="C100" s="82"/>
      <x:c r="D100" s="82"/>
      <x:c r="E100" s="70"/>
      <x:c r="F100" s="82"/>
      <x:c r="G100" s="82"/>
      <x:c r="H100" s="82"/>
      <x:c r="I100" s="82"/>
      <x:c r="J100" s="82"/>
      <x:c r="K100" s="82"/>
      <x:c r="L100" s="82"/>
      <x:c r="M100" s="82"/>
      <x:c r="N100" s="82"/>
      <x:c r="O100" s="82"/>
      <x:c r="P100" s="82"/>
      <x:c r="Q100" s="82"/>
      <x:c r="R100" s="82"/>
      <x:c r="S100" s="70"/>
      <x:c r="T100" s="70"/>
      <x:c r="U100" s="83"/>
      <x:c r="V100" s="83"/>
      <x:c r="W100" s="70"/>
      <x:c r="X100" s="70"/>
      <x:c r="Y100" s="70"/>
      <x:c r="Z100" s="82"/>
    </x:row>
  </x:sheetData>
  <x:conditionalFormatting sqref="F2:F100">
    <x:cfRule type="containsText" dxfId="9" priority="1" operator="containsText" text="零产出异常"/>
    <x:cfRule type="containsText" dxfId="10" priority="2" operator="containsText" text="正文质量降级"/>
    <x:cfRule type="containsText" dxfId="11" priority="3" operator="containsText" text="已配置跳过"/>
    <x:cfRule type="containsText" dxfId="12" priority="4" operator="containsText" text="健康"/>
  </x:conditionalFormatting>
  <x:dataValidations count="1">
    <x:dataValidation type="list" sqref="W2:W100">
      <x:formula1>"待执行,执行中,待验证,已完成,保留跳过"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dd7bab35444b20"/>
  </x:tableParts>
</x:worksheet>
</file>